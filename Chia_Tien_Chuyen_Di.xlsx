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Tổng Hợp" state="visible" r:id="rId4"/>
    <sheet sheetId="2" name="2. Chi Tiết Chi Tiêu" state="visible" r:id="rId5"/>
  </sheets>
  <calcPr calcId="171027"/>
</workbook>
</file>

<file path=xl/sharedStrings.xml><?xml version="1.0" encoding="utf-8"?>
<sst xmlns="http://schemas.openxmlformats.org/spreadsheetml/2006/main" count="1285" uniqueCount="47">
  <si>
    <t>BẢNG CÂN ĐỐI &amp; CHIA TIỀN CHUYẾN ĐI</t>
  </si>
  <si>
    <t xml:space="preserve">HƯỚNG DẪN SỬ DỤNG:
1. Nhập tên các thành viên vào cột "Tên Thành Viên" ở bảng dưới đây (tối đa 10 người).
2. Nhập số tiền mỗi người đã đóng trước vào quỹ vào cột "Tiền Đóng Quỹ (1)".
3. Sang sheet "2. Chi Tiết Chi Tiêu" để nhập các khoản chi riêng, người chi, số tiền và tích "x" cho những ai tham gia khoản chi đó.
4. Bảng này sẽ tự động tính toán chi tiết bằng công thức Excel.</t>
  </si>
  <si>
    <t>DANH SÁCH THÀNH VIÊN &amp; TỔNG HỢP TÀI CHÍNH</t>
  </si>
  <si>
    <t>STT</t>
  </si>
  <si>
    <t>Tên Thành Viên</t>
  </si>
  <si>
    <t>Tiền Đóng Quỹ (1)</t>
  </si>
  <si>
    <t>Chi Thêm Riêng (2)</t>
  </si>
  <si>
    <t>Tổng Cộng Đã Chi (3) = (1)+(2)</t>
  </si>
  <si>
    <t>Tổng Thực Chi (4)</t>
  </si>
  <si>
    <t>Còn Lại (3) - (4)</t>
  </si>
  <si>
    <t>Trạng Thái</t>
  </si>
  <si>
    <t>An</t>
  </si>
  <si>
    <t>Bình</t>
  </si>
  <si>
    <t>Cường</t>
  </si>
  <si>
    <t>Dũng</t>
  </si>
  <si>
    <t>Lan</t>
  </si>
  <si>
    <t>Hoa</t>
  </si>
  <si>
    <t>Thành viên 7</t>
  </si>
  <si>
    <t>Thành viên 8</t>
  </si>
  <si>
    <t>Thành viên 9</t>
  </si>
  <si>
    <t>Thành viên 10</t>
  </si>
  <si>
    <t/>
  </si>
  <si>
    <t>TỔNG CỘNG</t>
  </si>
  <si>
    <t>DANH SÁCH CHI TIÊU &amp; PHÂN CHIA CHI TIẾT</t>
  </si>
  <si>
    <t>Mẹo: Ở mỗi hàng, chọn Người Chi ở cột C, nhập Số Tiền ở cột D, rồi nhập chữ "x" (hoặc ký tự bất kỳ) vào cột tên của những người tham gia để chia tiền.</t>
  </si>
  <si>
    <t>Khoản Chi</t>
  </si>
  <si>
    <t>Người Chi</t>
  </si>
  <si>
    <t>Số Tiền Chi</t>
  </si>
  <si>
    <t>Số Người</t>
  </si>
  <si>
    <t>Tiền/Người</t>
  </si>
  <si>
    <t>Helper M1</t>
  </si>
  <si>
    <t>Helper M2</t>
  </si>
  <si>
    <t>Helper M3</t>
  </si>
  <si>
    <t>Helper M4</t>
  </si>
  <si>
    <t>Helper M5</t>
  </si>
  <si>
    <t>Helper M6</t>
  </si>
  <si>
    <t>Helper M7</t>
  </si>
  <si>
    <t>Helper M8</t>
  </si>
  <si>
    <t>Helper M9</t>
  </si>
  <si>
    <t>Helper M10</t>
  </si>
  <si>
    <t>Thuê xe du lịch di chuyển</t>
  </si>
  <si>
    <t>x</t>
  </si>
  <si>
    <t>Ăn tối hải sản ngày 1</t>
  </si>
  <si>
    <t>Vé cổng khu du lịch</t>
  </si>
  <si>
    <t>Nước ngọt &amp; trái cây</t>
  </si>
  <si>
    <t>Ăn sáng cafe ngày 2</t>
  </si>
  <si>
    <t>Khách sạn (đóng trước)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</si>
</sst>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FF"/>
      <sz val="16"/>
      <name val="Segoe UI"/>
    </font>
    <font>
      <i/>
      <color rgb="FF6C757D"/>
      <sz val="9"/>
      <name val="Segoe UI"/>
    </font>
    <font>
      <b/>
      <color rgb="FF0F5132"/>
      <sz val="12"/>
      <name val="Segoe UI"/>
    </font>
    <font>
      <b/>
      <color rgb="FFFFFFFF"/>
      <sz val="10"/>
      <name val="Segoe UI"/>
    </font>
    <font>
      <sz val="10"/>
      <name val="Segoe UI"/>
    </font>
    <font>
      <b/>
      <sz val="10"/>
      <name val="Segoe UI"/>
    </font>
    <font>
      <b/>
      <color rgb="FF0F5132"/>
      <sz val="10"/>
      <name val="Segoe UI"/>
    </font>
  </fonts>
  <fills count="6">
    <fill>
      <patternFill patternType="none"/>
    </fill>
    <fill>
      <patternFill patternType="gray125"/>
    </fill>
    <fill>
      <patternFill patternType="solid">
        <fgColor rgb="FF0F5132"/>
      </patternFill>
    </fill>
    <fill>
      <patternFill patternType="solid">
        <fgColor rgb="FFF8F9FA"/>
      </patternFill>
    </fill>
    <fill>
      <patternFill patternType="solid">
        <fgColor rgb="FFD1E7DD"/>
      </patternFill>
    </fill>
    <fill>
      <patternFill patternType="solid">
        <fgColor rgb="FFE2E3E5"/>
      </patternFill>
    </fill>
  </fills>
  <borders count="3">
    <border>
      <left/>
      <right/>
      <top/>
      <bottom/>
      <diagonal/>
    </border>
    <border>
      <left style="thin">
        <color rgb="FFDEE2E6"/>
      </left>
      <right style="thin">
        <color rgb="FFDEE2E6"/>
      </right>
      <top style="thin">
        <color rgb="FFDEE2E6"/>
      </top>
      <bottom style="thin">
        <color rgb="FFDEE2E6"/>
      </bottom>
      <diagonal/>
    </border>
    <border>
      <left style="thin">
        <color rgb="FFDEE2E6"/>
      </left>
      <right style="thin">
        <color rgb="FFDEE2E6"/>
      </right>
      <top style="thin">
        <color rgb="FFDEE2E6"/>
      </top>
      <bottom style="double">
        <color rgb="FF212529"/>
      </bottom>
      <diagonal/>
    </border>
  </borders>
  <cellStyleXfs count="1">
    <xf numFmtId="0" fontId="0" fillId="0" borderId="0"/>
  </cellStyleXfs>
  <cellXfs count="30">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0" borderId="0" xfId="0" applyFont="1" applyAlignment="1">
      <alignment horizontal="left" vertical="center"/>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5" fillId="0" borderId="1" xfId="0" applyFont="1" applyBorder="1" applyAlignment="1">
      <alignment horizontal="center"/>
    </xf>
    <xf numFmtId="0" fontId="6" fillId="0" borderId="1" xfId="0" applyFont="1" applyBorder="1" applyAlignment="1">
      <alignment horizontal="left"/>
    </xf>
    <xf numFmtId="0" fontId="5" fillId="0" borderId="1" xfId="0" applyFont="1" applyBorder="1" applyAlignment="1">
      <alignment horizontal="right"/>
    </xf>
    <xf numFmtId="0" fontId="5" fillId="0" borderId="1" xfId="0" applyFont="1" applyBorder="1" applyAlignment="1">
      <alignment horizontal="left"/>
    </xf>
    <xf numFmtId="0" fontId="5" fillId="3" borderId="1" xfId="0" applyFont="1" applyFill="1" applyBorder="1" applyAlignment="1">
      <alignment horizontal="center"/>
    </xf>
    <xf numFmtId="0" fontId="6" fillId="3" borderId="1" xfId="0" applyFont="1" applyFill="1" applyBorder="1" applyAlignment="1">
      <alignment horizontal="left"/>
    </xf>
    <xf numFmtId="0" fontId="5" fillId="3" borderId="1" xfId="0" applyFont="1" applyFill="1" applyBorder="1" applyAlignment="1">
      <alignment horizontal="right"/>
    </xf>
    <xf numFmtId="0" fontId="5" fillId="3" borderId="1" xfId="0" applyFont="1" applyFill="1" applyBorder="1" applyAlignment="1">
      <alignment horizontal="left"/>
    </xf>
    <xf numFmtId="0" fontId="6" fillId="4" borderId="2" xfId="0" applyFont="1" applyFill="1" applyBorder="1"/>
    <xf numFmtId="0" fontId="6" fillId="4" borderId="2" xfId="0" applyFont="1" applyFill="1" applyBorder="1" applyAlignment="1">
      <alignment horizontal="left"/>
    </xf>
    <xf numFmtId="0" fontId="6" fillId="4" borderId="2" xfId="0" applyFont="1" applyFill="1" applyBorder="1" applyAlignment="1">
      <alignment horizontal="right"/>
    </xf>
    <xf numFmtId="0" fontId="7" fillId="4" borderId="2" xfId="0" applyFont="1" applyFill="1" applyBorder="1" applyAlignment="1">
      <alignment horizontal="left"/>
    </xf>
    <xf numFmtId="0" fontId="2" fillId="3" borderId="0" xfId="0" applyFont="1" applyFill="1" applyAlignment="1">
      <alignment horizontal="left" vertical="center"/>
    </xf>
    <xf numFmtId="0" fontId="2" fillId="5"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5" fillId="3" borderId="1" xfId="0" applyFont="1" applyFill="1" applyBorder="1" applyAlignment="1">
      <alignment horizontal="right" vertical="center"/>
    </xf>
    <xf numFmtId="0" fontId="7"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right" vertical="center"/>
    </xf>
    <xf numFmtId="0" fontId="7" fillId="0" borderId="1" xfId="0" applyFont="1" applyBorder="1" applyAlignment="1">
      <alignment horizontal="center" vertical="center"/>
    </xf>
    <xf numFmtId="0" fontId="6" fillId="4" borderId="2" xfId="0" applyFont="1" applyFill="1" applyBorder="1" applyAlignment="1">
      <alignment horizontal="left" vertical="center"/>
    </xf>
    <xf numFmtId="0" fontId="6" fillId="4" borderId="2" xfId="0"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workbookViewId="0"/>
  </sheetViews>
  <sheetFormatPr defaultRowHeight="15" outlineLevelRow="0" outlineLevelCol="0" x14ac:dyDescent="55"/>
  <cols>
    <col min="1" max="1" width="6" customWidth="1"/>
    <col min="2" max="2" width="25" customWidth="1"/>
    <col min="3" max="4" width="18" customWidth="1"/>
    <col min="5" max="7" width="22" customWidth="1"/>
    <col min="8" max="8" width="28" customWidth="1"/>
  </cols>
  <sheetData>
    <row r="1" spans="1:8" x14ac:dyDescent="0.25">
      <c r="A1" s="1" t="s">
        <v>0</v>
      </c>
      <c r="B1" s="1"/>
      <c r="C1" s="1"/>
      <c r="D1" s="1"/>
      <c r="E1" s="1"/>
      <c r="F1" s="1"/>
      <c r="G1" s="1"/>
      <c r="H1" s="1"/>
    </row>
    <row r="2" spans="1:8" x14ac:dyDescent="0.25">
      <c r="A2" s="1"/>
      <c r="B2" s="1"/>
      <c r="C2" s="1"/>
      <c r="D2" s="1"/>
      <c r="E2" s="1"/>
      <c r="F2" s="1"/>
      <c r="G2" s="1"/>
      <c r="H2" s="1"/>
    </row>
    <row r="4" spans="1:8" x14ac:dyDescent="0.25">
      <c r="A4" s="2" t="s">
        <v>1</v>
      </c>
      <c r="B4" s="2"/>
      <c r="C4" s="2"/>
      <c r="D4" s="2"/>
      <c r="E4" s="2"/>
      <c r="F4" s="2"/>
      <c r="G4" s="2"/>
      <c r="H4" s="2"/>
    </row>
    <row r="5" spans="1:8" x14ac:dyDescent="0.25">
      <c r="A5" s="2"/>
      <c r="B5" s="2"/>
      <c r="C5" s="2"/>
      <c r="D5" s="2"/>
      <c r="E5" s="2"/>
      <c r="F5" s="2"/>
      <c r="G5" s="2"/>
      <c r="H5" s="2"/>
    </row>
    <row r="7" spans="1:8" x14ac:dyDescent="0.25">
      <c r="A7" s="3" t="s">
        <v>2</v>
      </c>
      <c r="B7" s="3"/>
      <c r="C7" s="3"/>
      <c r="D7" s="3"/>
      <c r="E7" s="3"/>
      <c r="F7" s="3"/>
      <c r="G7" s="3"/>
      <c r="H7" s="3"/>
    </row>
    <row r="10" ht="26" customHeight="1" spans="1:8" x14ac:dyDescent="0.25">
      <c r="A10" s="4" t="s">
        <v>3</v>
      </c>
      <c r="B10" s="5" t="s">
        <v>4</v>
      </c>
      <c r="C10" s="4" t="s">
        <v>5</v>
      </c>
      <c r="D10" s="4" t="s">
        <v>6</v>
      </c>
      <c r="E10" s="4" t="s">
        <v>7</v>
      </c>
      <c r="F10" s="4" t="s">
        <v>8</v>
      </c>
      <c r="G10" s="4" t="s">
        <v>9</v>
      </c>
      <c r="H10" s="5" t="s">
        <v>10</v>
      </c>
    </row>
    <row r="11" ht="22" customHeight="1" spans="1:8" x14ac:dyDescent="0.25">
      <c r="A11" s="6">
        <v>1</v>
      </c>
      <c r="B11" s="7" t="s">
        <v>11</v>
      </c>
      <c r="C11" s="8">
        <v>500000</v>
      </c>
      <c r="D11" s="8">
        <f>=SUMIF('2. Chi Tiết Chi Tiêu'!$C$6:$C$100, B11, '2. Chi Tiết Chi Tiêu'!$D$6:$D$100)</f>
      </c>
      <c r="E11" s="8">
        <f>=C11+D11</f>
      </c>
      <c r="F11" s="8">
        <f>=SUM('2. Chi Tiết Chi Tiêu'!Q$6:Q$100)</f>
      </c>
      <c r="G11" s="8">
        <f>=E11-F11</f>
      </c>
      <c r="H11" s="9">
        <f>=IF(G11&gt;0, "Nhận lại: " &amp; TEXT(G11, "#,##0 đ"), IF(G11&lt;0, "Đóng thêm: " &amp; TEXT(-G11, "#,##0 đ"), "Đã xong"))</f>
      </c>
    </row>
    <row r="12" ht="22" customHeight="1" spans="1:8" x14ac:dyDescent="0.25">
      <c r="A12" s="10">
        <v>2</v>
      </c>
      <c r="B12" s="11" t="s">
        <v>12</v>
      </c>
      <c r="C12" s="12">
        <v>500000</v>
      </c>
      <c r="D12" s="12">
        <f>=SUMIF('2. Chi Tiết Chi Tiêu'!$C$6:$C$100, B12, '2. Chi Tiết Chi Tiêu'!$D$6:$D$100)</f>
      </c>
      <c r="E12" s="12">
        <f>=C12+D12</f>
      </c>
      <c r="F12" s="12">
        <f>=SUM('2. Chi Tiết Chi Tiêu'!R$6:R$100)</f>
      </c>
      <c r="G12" s="12">
        <f>=E12-F12</f>
      </c>
      <c r="H12" s="13">
        <f>=IF(G12&gt;0, "Nhận lại: " &amp; TEXT(G12, "#,##0 đ"), IF(G12&lt;0, "Đóng thêm: " &amp; TEXT(-G12, "#,##0 đ"), "Đã xong"))</f>
      </c>
    </row>
    <row r="13" ht="22" customHeight="1" spans="1:8" x14ac:dyDescent="0.25">
      <c r="A13" s="6">
        <v>3</v>
      </c>
      <c r="B13" s="7" t="s">
        <v>13</v>
      </c>
      <c r="C13" s="8">
        <v>500000</v>
      </c>
      <c r="D13" s="8">
        <f>=SUMIF('2. Chi Tiết Chi Tiêu'!$C$6:$C$100, B13, '2. Chi Tiết Chi Tiêu'!$D$6:$D$100)</f>
      </c>
      <c r="E13" s="8">
        <f>=C13+D13</f>
      </c>
      <c r="F13" s="8">
        <f>=SUM('2. Chi Tiết Chi Tiêu'!S$6:S$100)</f>
      </c>
      <c r="G13" s="8">
        <f>=E13-F13</f>
      </c>
      <c r="H13" s="9">
        <f>=IF(G13&gt;0, "Nhận lại: " &amp; TEXT(G13, "#,##0 đ"), IF(G13&lt;0, "Đóng thêm: " &amp; TEXT(-G13, "#,##0 đ"), "Đã xong"))</f>
      </c>
    </row>
    <row r="14" ht="22" customHeight="1" spans="1:8" x14ac:dyDescent="0.25">
      <c r="A14" s="10">
        <v>4</v>
      </c>
      <c r="B14" s="11" t="s">
        <v>14</v>
      </c>
      <c r="C14" s="12">
        <v>500000</v>
      </c>
      <c r="D14" s="12">
        <f>=SUMIF('2. Chi Tiết Chi Tiêu'!$C$6:$C$100, B14, '2. Chi Tiết Chi Tiêu'!$D$6:$D$100)</f>
      </c>
      <c r="E14" s="12">
        <f>=C14+D14</f>
      </c>
      <c r="F14" s="12">
        <f>=SUM('2. Chi Tiết Chi Tiêu'!T$6:T$100)</f>
      </c>
      <c r="G14" s="12">
        <f>=E14-F14</f>
      </c>
      <c r="H14" s="13">
        <f>=IF(G14&gt;0, "Nhận lại: " &amp; TEXT(G14, "#,##0 đ"), IF(G14&lt;0, "Đóng thêm: " &amp; TEXT(-G14, "#,##0 đ"), "Đã xong"))</f>
      </c>
    </row>
    <row r="15" ht="22" customHeight="1" spans="1:8" x14ac:dyDescent="0.25">
      <c r="A15" s="6">
        <v>5</v>
      </c>
      <c r="B15" s="7" t="s">
        <v>15</v>
      </c>
      <c r="C15" s="8">
        <v>500000</v>
      </c>
      <c r="D15" s="8">
        <f>=SUMIF('2. Chi Tiết Chi Tiêu'!$C$6:$C$100, B15, '2. Chi Tiết Chi Tiêu'!$D$6:$D$100)</f>
      </c>
      <c r="E15" s="8">
        <f>=C15+D15</f>
      </c>
      <c r="F15" s="8">
        <f>=SUM('2. Chi Tiết Chi Tiêu'!U$6:U$100)</f>
      </c>
      <c r="G15" s="8">
        <f>=E15-F15</f>
      </c>
      <c r="H15" s="9">
        <f>=IF(G15&gt;0, "Nhận lại: " &amp; TEXT(G15, "#,##0 đ"), IF(G15&lt;0, "Đóng thêm: " &amp; TEXT(-G15, "#,##0 đ"), "Đã xong"))</f>
      </c>
    </row>
    <row r="16" ht="22" customHeight="1" spans="1:8" x14ac:dyDescent="0.25">
      <c r="A16" s="10">
        <v>6</v>
      </c>
      <c r="B16" s="11" t="s">
        <v>16</v>
      </c>
      <c r="C16" s="12">
        <v>500000</v>
      </c>
      <c r="D16" s="12">
        <f>=SUMIF('2. Chi Tiết Chi Tiêu'!$C$6:$C$100, B16, '2. Chi Tiết Chi Tiêu'!$D$6:$D$100)</f>
      </c>
      <c r="E16" s="12">
        <f>=C16+D16</f>
      </c>
      <c r="F16" s="12">
        <f>=SUM('2. Chi Tiết Chi Tiêu'!V$6:V$100)</f>
      </c>
      <c r="G16" s="12">
        <f>=E16-F16</f>
      </c>
      <c r="H16" s="13">
        <f>=IF(G16&gt;0, "Nhận lại: " &amp; TEXT(G16, "#,##0 đ"), IF(G16&lt;0, "Đóng thêm: " &amp; TEXT(-G16, "#,##0 đ"), "Đã xong"))</f>
      </c>
    </row>
    <row r="17" ht="22" customHeight="1" spans="1:8" x14ac:dyDescent="0.25">
      <c r="A17" s="6">
        <v>7</v>
      </c>
      <c r="B17" s="7" t="s">
        <v>17</v>
      </c>
      <c r="C17" s="8">
        <v>0</v>
      </c>
      <c r="D17" s="8">
        <f>=SUMIF('2. Chi Tiết Chi Tiêu'!$C$6:$C$100, B17, '2. Chi Tiết Chi Tiêu'!$D$6:$D$100)</f>
      </c>
      <c r="E17" s="8">
        <f>=C17+D17</f>
      </c>
      <c r="F17" s="8">
        <f>=SUM('2. Chi Tiết Chi Tiêu'!W$6:W$100)</f>
      </c>
      <c r="G17" s="8">
        <f>=E17-F17</f>
      </c>
      <c r="H17" s="9">
        <f>=IF(G17&gt;0, "Nhận lại: " &amp; TEXT(G17, "#,##0 đ"), IF(G17&lt;0, "Đóng thêm: " &amp; TEXT(-G17, "#,##0 đ"), "Đã xong"))</f>
      </c>
    </row>
    <row r="18" ht="22" customHeight="1" spans="1:8" x14ac:dyDescent="0.25">
      <c r="A18" s="10">
        <v>8</v>
      </c>
      <c r="B18" s="11" t="s">
        <v>18</v>
      </c>
      <c r="C18" s="12">
        <v>0</v>
      </c>
      <c r="D18" s="12">
        <f>=SUMIF('2. Chi Tiết Chi Tiêu'!$C$6:$C$100, B18, '2. Chi Tiết Chi Tiêu'!$D$6:$D$100)</f>
      </c>
      <c r="E18" s="12">
        <f>=C18+D18</f>
      </c>
      <c r="F18" s="12">
        <f>=SUM('2. Chi Tiết Chi Tiêu'!X$6:X$100)</f>
      </c>
      <c r="G18" s="12">
        <f>=E18-F18</f>
      </c>
      <c r="H18" s="13">
        <f>=IF(G18&gt;0, "Nhận lại: " &amp; TEXT(G18, "#,##0 đ"), IF(G18&lt;0, "Đóng thêm: " &amp; TEXT(-G18, "#,##0 đ"), "Đã xong"))</f>
      </c>
    </row>
    <row r="19" ht="22" customHeight="1" spans="1:8" x14ac:dyDescent="0.25">
      <c r="A19" s="6">
        <v>9</v>
      </c>
      <c r="B19" s="7" t="s">
        <v>19</v>
      </c>
      <c r="C19" s="8">
        <v>0</v>
      </c>
      <c r="D19" s="8">
        <f>=SUMIF('2. Chi Tiết Chi Tiêu'!$C$6:$C$100, B19, '2. Chi Tiết Chi Tiêu'!$D$6:$D$100)</f>
      </c>
      <c r="E19" s="8">
        <f>=C19+D19</f>
      </c>
      <c r="F19" s="8">
        <f>=SUM('2. Chi Tiết Chi Tiêu'!Y$6:Y$100)</f>
      </c>
      <c r="G19" s="8">
        <f>=E19-F19</f>
      </c>
      <c r="H19" s="9">
        <f>=IF(G19&gt;0, "Nhận lại: " &amp; TEXT(G19, "#,##0 đ"), IF(G19&lt;0, "Đóng thêm: " &amp; TEXT(-G19, "#,##0 đ"), "Đã xong"))</f>
      </c>
    </row>
    <row r="20" ht="22" customHeight="1" spans="1:8" x14ac:dyDescent="0.25">
      <c r="A20" s="10">
        <v>10</v>
      </c>
      <c r="B20" s="11" t="s">
        <v>20</v>
      </c>
      <c r="C20" s="12">
        <v>0</v>
      </c>
      <c r="D20" s="12">
        <f>=SUMIF('2. Chi Tiết Chi Tiêu'!$C$6:$C$100, B20, '2. Chi Tiết Chi Tiêu'!$D$6:$D$100)</f>
      </c>
      <c r="E20" s="12">
        <f>=C20+D20</f>
      </c>
      <c r="F20" s="12">
        <f>=SUM('2. Chi Tiết Chi Tiêu'!Z$6:Z$100)</f>
      </c>
      <c r="G20" s="12">
        <f>=E20-F20</f>
      </c>
      <c r="H20" s="13">
        <f>=IF(G20&gt;0, "Nhận lại: " &amp; TEXT(G20, "#,##0 đ"), IF(G20&lt;0, "Đóng thêm: " &amp; TEXT(-G20, "#,##0 đ"), "Đã xong"))</f>
      </c>
    </row>
    <row r="21" ht="24" customHeight="1" spans="1:8" x14ac:dyDescent="0.25">
      <c r="A21" s="14" t="s">
        <v>21</v>
      </c>
      <c r="B21" s="15" t="s">
        <v>22</v>
      </c>
      <c r="C21" s="16">
        <f>=SUM(C11:C20)</f>
      </c>
      <c r="D21" s="16">
        <f>=SUM(D11:D20)</f>
      </c>
      <c r="E21" s="16">
        <f>=SUM(E11:E20)</f>
      </c>
      <c r="F21" s="16">
        <f>=SUM(F11:F20)</f>
      </c>
      <c r="G21" s="16">
        <f>=SUM(G11:G20)</f>
      </c>
      <c r="H21" s="17">
        <f>=IF(ROUND(G21, 0)=0, "Khớp 100% (Hoàn thành)", "Lệch: " &amp; TEXT(G21, "#,##0 đ"))</f>
      </c>
    </row>
  </sheetData>
  <mergeCells count="3">
    <mergeCell ref="A1:H2"/>
    <mergeCell ref="A4:H5"/>
    <mergeCell ref="A7:H7"/>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workbookViewId="0"/>
  </sheetViews>
  <sheetFormatPr defaultRowHeight="15" outlineLevelRow="0" outlineLevelCol="0" x14ac:dyDescent="55"/>
  <cols>
    <col min="1" max="1" width="6" customWidth="1"/>
    <col min="2" max="2" width="25" customWidth="1"/>
    <col min="3" max="4" width="16" customWidth="1"/>
    <col min="5" max="5" width="11" customWidth="1"/>
    <col min="6" max="6" width="15" customWidth="1"/>
    <col min="7" max="16" width="12" customWidth="1"/>
    <col min="17" max="26" width="8" customWidth="1"/>
  </cols>
  <sheetData>
    <row r="1" spans="1:16" x14ac:dyDescent="0.25">
      <c r="A1" s="1" t="s">
        <v>23</v>
      </c>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4" spans="1:16" x14ac:dyDescent="0.25">
      <c r="A4" s="18" t="s">
        <v>24</v>
      </c>
      <c r="B4" s="18"/>
      <c r="C4" s="18"/>
      <c r="D4" s="18"/>
      <c r="E4" s="18"/>
      <c r="F4" s="18"/>
      <c r="G4" s="18"/>
      <c r="H4" s="18"/>
      <c r="I4" s="18"/>
      <c r="J4" s="18"/>
      <c r="K4" s="18"/>
      <c r="L4" s="18"/>
      <c r="M4" s="18"/>
      <c r="N4" s="18"/>
      <c r="O4" s="18"/>
      <c r="P4" s="18"/>
    </row>
    <row r="5" ht="26" customHeight="1" spans="1:26" x14ac:dyDescent="0.25">
      <c r="A5" s="4" t="s">
        <v>3</v>
      </c>
      <c r="B5" s="4" t="s">
        <v>25</v>
      </c>
      <c r="C5" s="4" t="s">
        <v>26</v>
      </c>
      <c r="D5" s="4" t="s">
        <v>27</v>
      </c>
      <c r="E5" s="4" t="s">
        <v>28</v>
      </c>
      <c r="F5" s="4" t="s">
        <v>29</v>
      </c>
      <c r="G5" s="4">
        <f>='1. Tổng Hợp'!$B$11</f>
      </c>
      <c r="H5" s="4">
        <f>='1. Tổng Hợp'!$B$12</f>
      </c>
      <c r="I5" s="4">
        <f>='1. Tổng Hợp'!$B$13</f>
      </c>
      <c r="J5" s="4">
        <f>='1. Tổng Hợp'!$B$14</f>
      </c>
      <c r="K5" s="4">
        <f>='1. Tổng Hợp'!$B$15</f>
      </c>
      <c r="L5" s="4">
        <f>='1. Tổng Hợp'!$B$16</f>
      </c>
      <c r="M5" s="4">
        <f>='1. Tổng Hợp'!$B$17</f>
      </c>
      <c r="N5" s="4">
        <f>='1. Tổng Hợp'!$B$18</f>
      </c>
      <c r="O5" s="4">
        <f>='1. Tổng Hợp'!$B$19</f>
      </c>
      <c r="P5" s="4">
        <f>='1. Tổng Hợp'!$B$20</f>
      </c>
      <c r="Q5" s="19" t="s">
        <v>30</v>
      </c>
      <c r="R5" s="19" t="s">
        <v>31</v>
      </c>
      <c r="S5" s="19" t="s">
        <v>32</v>
      </c>
      <c r="T5" s="19" t="s">
        <v>33</v>
      </c>
      <c r="U5" s="19" t="s">
        <v>34</v>
      </c>
      <c r="V5" s="19" t="s">
        <v>35</v>
      </c>
      <c r="W5" s="19" t="s">
        <v>36</v>
      </c>
      <c r="X5" s="19" t="s">
        <v>37</v>
      </c>
      <c r="Y5" s="19" t="s">
        <v>38</v>
      </c>
      <c r="Z5" s="19" t="s">
        <v>39</v>
      </c>
    </row>
    <row r="6" ht="20" customHeight="1" spans="1:26" x14ac:dyDescent="0.25">
      <c r="A6" s="20">
        <v>1</v>
      </c>
      <c r="B6" s="21" t="s">
        <v>40</v>
      </c>
      <c r="C6" s="21" t="s">
        <v>11</v>
      </c>
      <c r="D6" s="22">
        <v>3000000</v>
      </c>
      <c r="E6" s="20">
        <f>=COUNTIF(G6:P6, "x")</f>
      </c>
      <c r="F6" s="22">
        <f>=IF(E6&gt;0, D6/E6, 0)</f>
      </c>
      <c r="G6" s="23" t="s">
        <v>41</v>
      </c>
      <c r="H6" s="23" t="s">
        <v>41</v>
      </c>
      <c r="I6" s="23" t="s">
        <v>41</v>
      </c>
      <c r="J6" s="23" t="s">
        <v>41</v>
      </c>
      <c r="K6" s="23" t="s">
        <v>41</v>
      </c>
      <c r="L6" s="23" t="s">
        <v>41</v>
      </c>
      <c r="M6" s="23" t="s">
        <v>21</v>
      </c>
      <c r="N6" s="23" t="s">
        <v>21</v>
      </c>
      <c r="O6" s="23" t="s">
        <v>21</v>
      </c>
      <c r="P6" s="23" t="s">
        <v>21</v>
      </c>
      <c r="Q6" s="22">
        <f>=IF(G6="x", $F6, 0)</f>
      </c>
      <c r="R6" s="22">
        <f>=IF(H6="x", $F6, 0)</f>
      </c>
      <c r="S6" s="22">
        <f>=IF(I6="x", $F6, 0)</f>
      </c>
      <c r="T6" s="22">
        <f>=IF(J6="x", $F6, 0)</f>
      </c>
      <c r="U6" s="22">
        <f>=IF(K6="x", $F6, 0)</f>
      </c>
      <c r="V6" s="22">
        <f>=IF(L6="x", $F6, 0)</f>
      </c>
      <c r="W6" s="22">
        <f>=IF(M6="x", $F6, 0)</f>
      </c>
      <c r="X6" s="22">
        <f>=IF(N6="x", $F6, 0)</f>
      </c>
      <c r="Y6" s="22">
        <f>=IF(O6="x", $F6, 0)</f>
      </c>
      <c r="Z6" s="22">
        <f>=IF(P6="x", $F6, 0)</f>
      </c>
    </row>
    <row r="7" ht="20" customHeight="1" spans="1:26" x14ac:dyDescent="0.25">
      <c r="A7" s="24">
        <v>2</v>
      </c>
      <c r="B7" s="25" t="s">
        <v>42</v>
      </c>
      <c r="C7" s="25" t="s">
        <v>12</v>
      </c>
      <c r="D7" s="26">
        <v>2400000</v>
      </c>
      <c r="E7" s="24">
        <f>=COUNTIF(G7:P7, "x")</f>
      </c>
      <c r="F7" s="26">
        <f>=IF(E7&gt;0, D7/E7, 0)</f>
      </c>
      <c r="G7" s="27" t="s">
        <v>41</v>
      </c>
      <c r="H7" s="27" t="s">
        <v>41</v>
      </c>
      <c r="I7" s="27" t="s">
        <v>41</v>
      </c>
      <c r="J7" s="27" t="s">
        <v>41</v>
      </c>
      <c r="K7" s="27" t="s">
        <v>41</v>
      </c>
      <c r="L7" s="27" t="s">
        <v>41</v>
      </c>
      <c r="M7" s="27" t="s">
        <v>21</v>
      </c>
      <c r="N7" s="27" t="s">
        <v>21</v>
      </c>
      <c r="O7" s="27" t="s">
        <v>21</v>
      </c>
      <c r="P7" s="27" t="s">
        <v>21</v>
      </c>
      <c r="Q7" s="26">
        <f>=IF(G7="x", $F7, 0)</f>
      </c>
      <c r="R7" s="26">
        <f>=IF(H7="x", $F7, 0)</f>
      </c>
      <c r="S7" s="26">
        <f>=IF(I7="x", $F7, 0)</f>
      </c>
      <c r="T7" s="26">
        <f>=IF(J7="x", $F7, 0)</f>
      </c>
      <c r="U7" s="26">
        <f>=IF(K7="x", $F7, 0)</f>
      </c>
      <c r="V7" s="26">
        <f>=IF(L7="x", $F7, 0)</f>
      </c>
      <c r="W7" s="26">
        <f>=IF(M7="x", $F7, 0)</f>
      </c>
      <c r="X7" s="26">
        <f>=IF(N7="x", $F7, 0)</f>
      </c>
      <c r="Y7" s="26">
        <f>=IF(O7="x", $F7, 0)</f>
      </c>
      <c r="Z7" s="26">
        <f>=IF(P7="x", $F7, 0)</f>
      </c>
    </row>
    <row r="8" ht="20" customHeight="1" spans="1:26" x14ac:dyDescent="0.25">
      <c r="A8" s="20">
        <v>3</v>
      </c>
      <c r="B8" s="21" t="s">
        <v>43</v>
      </c>
      <c r="C8" s="21" t="s">
        <v>13</v>
      </c>
      <c r="D8" s="22">
        <v>1200000</v>
      </c>
      <c r="E8" s="20">
        <f>=COUNTIF(G8:P8, "x")</f>
      </c>
      <c r="F8" s="22">
        <f>=IF(E8&gt;0, D8/E8, 0)</f>
      </c>
      <c r="G8" s="23" t="s">
        <v>41</v>
      </c>
      <c r="H8" s="23" t="s">
        <v>41</v>
      </c>
      <c r="I8" s="23" t="s">
        <v>41</v>
      </c>
      <c r="J8" s="23" t="s">
        <v>41</v>
      </c>
      <c r="K8" s="23" t="s">
        <v>41</v>
      </c>
      <c r="L8" s="23" t="s">
        <v>41</v>
      </c>
      <c r="M8" s="23" t="s">
        <v>21</v>
      </c>
      <c r="N8" s="23" t="s">
        <v>21</v>
      </c>
      <c r="O8" s="23" t="s">
        <v>21</v>
      </c>
      <c r="P8" s="23" t="s">
        <v>21</v>
      </c>
      <c r="Q8" s="22">
        <f>=IF(G8="x", $F8, 0)</f>
      </c>
      <c r="R8" s="22">
        <f>=IF(H8="x", $F8, 0)</f>
      </c>
      <c r="S8" s="22">
        <f>=IF(I8="x", $F8, 0)</f>
      </c>
      <c r="T8" s="22">
        <f>=IF(J8="x", $F8, 0)</f>
      </c>
      <c r="U8" s="22">
        <f>=IF(K8="x", $F8, 0)</f>
      </c>
      <c r="V8" s="22">
        <f>=IF(L8="x", $F8, 0)</f>
      </c>
      <c r="W8" s="22">
        <f>=IF(M8="x", $F8, 0)</f>
      </c>
      <c r="X8" s="22">
        <f>=IF(N8="x", $F8, 0)</f>
      </c>
      <c r="Y8" s="22">
        <f>=IF(O8="x", $F8, 0)</f>
      </c>
      <c r="Z8" s="22">
        <f>=IF(P8="x", $F8, 0)</f>
      </c>
    </row>
    <row r="9" ht="20" customHeight="1" spans="1:26" x14ac:dyDescent="0.25">
      <c r="A9" s="24">
        <v>4</v>
      </c>
      <c r="B9" s="25" t="s">
        <v>44</v>
      </c>
      <c r="C9" s="25" t="s">
        <v>15</v>
      </c>
      <c r="D9" s="26">
        <v>600000</v>
      </c>
      <c r="E9" s="24">
        <f>=COUNTIF(G9:P9, "x")</f>
      </c>
      <c r="F9" s="26">
        <f>=IF(E9&gt;0, D9/E9, 0)</f>
      </c>
      <c r="G9" s="27" t="s">
        <v>41</v>
      </c>
      <c r="H9" s="27" t="s">
        <v>41</v>
      </c>
      <c r="I9" s="27" t="s">
        <v>41</v>
      </c>
      <c r="J9" s="27" t="s">
        <v>41</v>
      </c>
      <c r="K9" s="27" t="s">
        <v>41</v>
      </c>
      <c r="L9" s="27" t="s">
        <v>41</v>
      </c>
      <c r="M9" s="27" t="s">
        <v>21</v>
      </c>
      <c r="N9" s="27" t="s">
        <v>21</v>
      </c>
      <c r="O9" s="27" t="s">
        <v>21</v>
      </c>
      <c r="P9" s="27" t="s">
        <v>21</v>
      </c>
      <c r="Q9" s="26">
        <f>=IF(G9="x", $F9, 0)</f>
      </c>
      <c r="R9" s="26">
        <f>=IF(H9="x", $F9, 0)</f>
      </c>
      <c r="S9" s="26">
        <f>=IF(I9="x", $F9, 0)</f>
      </c>
      <c r="T9" s="26">
        <f>=IF(J9="x", $F9, 0)</f>
      </c>
      <c r="U9" s="26">
        <f>=IF(K9="x", $F9, 0)</f>
      </c>
      <c r="V9" s="26">
        <f>=IF(L9="x", $F9, 0)</f>
      </c>
      <c r="W9" s="26">
        <f>=IF(M9="x", $F9, 0)</f>
      </c>
      <c r="X9" s="26">
        <f>=IF(N9="x", $F9, 0)</f>
      </c>
      <c r="Y9" s="26">
        <f>=IF(O9="x", $F9, 0)</f>
      </c>
      <c r="Z9" s="26">
        <f>=IF(P9="x", $F9, 0)</f>
      </c>
    </row>
    <row r="10" ht="20" customHeight="1" spans="1:26" x14ac:dyDescent="0.25">
      <c r="A10" s="20">
        <v>5</v>
      </c>
      <c r="B10" s="21" t="s">
        <v>45</v>
      </c>
      <c r="C10" s="21" t="s">
        <v>16</v>
      </c>
      <c r="D10" s="22">
        <v>900000</v>
      </c>
      <c r="E10" s="20">
        <f>=COUNTIF(G10:P10, "x")</f>
      </c>
      <c r="F10" s="22">
        <f>=IF(E10&gt;0, D10/E10, 0)</f>
      </c>
      <c r="G10" s="23" t="s">
        <v>41</v>
      </c>
      <c r="H10" s="23" t="s">
        <v>41</v>
      </c>
      <c r="I10" s="23" t="s">
        <v>41</v>
      </c>
      <c r="J10" s="23" t="s">
        <v>41</v>
      </c>
      <c r="K10" s="23" t="s">
        <v>41</v>
      </c>
      <c r="L10" s="23" t="s">
        <v>41</v>
      </c>
      <c r="M10" s="23" t="s">
        <v>21</v>
      </c>
      <c r="N10" s="23" t="s">
        <v>21</v>
      </c>
      <c r="O10" s="23" t="s">
        <v>21</v>
      </c>
      <c r="P10" s="23" t="s">
        <v>21</v>
      </c>
      <c r="Q10" s="22">
        <f>=IF(G10="x", $F10, 0)</f>
      </c>
      <c r="R10" s="22">
        <f>=IF(H10="x", $F10, 0)</f>
      </c>
      <c r="S10" s="22">
        <f>=IF(I10="x", $F10, 0)</f>
      </c>
      <c r="T10" s="22">
        <f>=IF(J10="x", $F10, 0)</f>
      </c>
      <c r="U10" s="22">
        <f>=IF(K10="x", $F10, 0)</f>
      </c>
      <c r="V10" s="22">
        <f>=IF(L10="x", $F10, 0)</f>
      </c>
      <c r="W10" s="22">
        <f>=IF(M10="x", $F10, 0)</f>
      </c>
      <c r="X10" s="22">
        <f>=IF(N10="x", $F10, 0)</f>
      </c>
      <c r="Y10" s="22">
        <f>=IF(O10="x", $F10, 0)</f>
      </c>
      <c r="Z10" s="22">
        <f>=IF(P10="x", $F10, 0)</f>
      </c>
    </row>
    <row r="11" ht="20" customHeight="1" spans="1:26" x14ac:dyDescent="0.25">
      <c r="A11" s="24">
        <v>6</v>
      </c>
      <c r="B11" s="25" t="s">
        <v>46</v>
      </c>
      <c r="C11" s="25" t="s">
        <v>11</v>
      </c>
      <c r="D11" s="26">
        <v>4800000</v>
      </c>
      <c r="E11" s="24">
        <f>=COUNTIF(G11:P11, "x")</f>
      </c>
      <c r="F11" s="26">
        <f>=IF(E11&gt;0, D11/E11, 0)</f>
      </c>
      <c r="G11" s="27" t="s">
        <v>41</v>
      </c>
      <c r="H11" s="27" t="s">
        <v>41</v>
      </c>
      <c r="I11" s="27" t="s">
        <v>41</v>
      </c>
      <c r="J11" s="27" t="s">
        <v>41</v>
      </c>
      <c r="K11" s="27" t="s">
        <v>41</v>
      </c>
      <c r="L11" s="27" t="s">
        <v>41</v>
      </c>
      <c r="M11" s="27" t="s">
        <v>21</v>
      </c>
      <c r="N11" s="27" t="s">
        <v>21</v>
      </c>
      <c r="O11" s="27" t="s">
        <v>21</v>
      </c>
      <c r="P11" s="27" t="s">
        <v>21</v>
      </c>
      <c r="Q11" s="26">
        <f>=IF(G11="x", $F11, 0)</f>
      </c>
      <c r="R11" s="26">
        <f>=IF(H11="x", $F11, 0)</f>
      </c>
      <c r="S11" s="26">
        <f>=IF(I11="x", $F11, 0)</f>
      </c>
      <c r="T11" s="26">
        <f>=IF(J11="x", $F11, 0)</f>
      </c>
      <c r="U11" s="26">
        <f>=IF(K11="x", $F11, 0)</f>
      </c>
      <c r="V11" s="26">
        <f>=IF(L11="x", $F11, 0)</f>
      </c>
      <c r="W11" s="26">
        <f>=IF(M11="x", $F11, 0)</f>
      </c>
      <c r="X11" s="26">
        <f>=IF(N11="x", $F11, 0)</f>
      </c>
      <c r="Y11" s="26">
        <f>=IF(O11="x", $F11, 0)</f>
      </c>
      <c r="Z11" s="26">
        <f>=IF(P11="x", $F11, 0)</f>
      </c>
    </row>
    <row r="12" ht="20" customHeight="1" spans="1:26" x14ac:dyDescent="0.25">
      <c r="A12" s="20">
        <v>7</v>
      </c>
      <c r="B12" s="21" t="s">
        <v>21</v>
      </c>
      <c r="C12" s="21" t="s">
        <v>21</v>
      </c>
      <c r="D12" s="22" t="s">
        <v>21</v>
      </c>
      <c r="E12" s="20">
        <f>=COUNTIF(G12:P12, "x")</f>
      </c>
      <c r="F12" s="22">
        <f>=IF(E12&gt;0, D12/E12, 0)</f>
      </c>
      <c r="G12" s="23" t="s">
        <v>21</v>
      </c>
      <c r="H12" s="23" t="s">
        <v>21</v>
      </c>
      <c r="I12" s="23" t="s">
        <v>21</v>
      </c>
      <c r="J12" s="23" t="s">
        <v>21</v>
      </c>
      <c r="K12" s="23" t="s">
        <v>21</v>
      </c>
      <c r="L12" s="23" t="s">
        <v>21</v>
      </c>
      <c r="M12" s="23" t="s">
        <v>21</v>
      </c>
      <c r="N12" s="23" t="s">
        <v>21</v>
      </c>
      <c r="O12" s="23" t="s">
        <v>21</v>
      </c>
      <c r="P12" s="23" t="s">
        <v>21</v>
      </c>
      <c r="Q12" s="22">
        <f>=IF(G12="x", $F12, 0)</f>
      </c>
      <c r="R12" s="22">
        <f>=IF(H12="x", $F12, 0)</f>
      </c>
      <c r="S12" s="22">
        <f>=IF(I12="x", $F12, 0)</f>
      </c>
      <c r="T12" s="22">
        <f>=IF(J12="x", $F12, 0)</f>
      </c>
      <c r="U12" s="22">
        <f>=IF(K12="x", $F12, 0)</f>
      </c>
      <c r="V12" s="22">
        <f>=IF(L12="x", $F12, 0)</f>
      </c>
      <c r="W12" s="22">
        <f>=IF(M12="x", $F12, 0)</f>
      </c>
      <c r="X12" s="22">
        <f>=IF(N12="x", $F12, 0)</f>
      </c>
      <c r="Y12" s="22">
        <f>=IF(O12="x", $F12, 0)</f>
      </c>
      <c r="Z12" s="22">
        <f>=IF(P12="x", $F12, 0)</f>
      </c>
    </row>
    <row r="13" ht="20" customHeight="1" spans="1:26" x14ac:dyDescent="0.25">
      <c r="A13" s="24">
        <v>8</v>
      </c>
      <c r="B13" s="25" t="s">
        <v>21</v>
      </c>
      <c r="C13" s="25" t="s">
        <v>21</v>
      </c>
      <c r="D13" s="26" t="s">
        <v>21</v>
      </c>
      <c r="E13" s="24">
        <f>=COUNTIF(G13:P13, "x")</f>
      </c>
      <c r="F13" s="26">
        <f>=IF(E13&gt;0, D13/E13, 0)</f>
      </c>
      <c r="G13" s="27" t="s">
        <v>21</v>
      </c>
      <c r="H13" s="27" t="s">
        <v>21</v>
      </c>
      <c r="I13" s="27" t="s">
        <v>21</v>
      </c>
      <c r="J13" s="27" t="s">
        <v>21</v>
      </c>
      <c r="K13" s="27" t="s">
        <v>21</v>
      </c>
      <c r="L13" s="27" t="s">
        <v>21</v>
      </c>
      <c r="M13" s="27" t="s">
        <v>21</v>
      </c>
      <c r="N13" s="27" t="s">
        <v>21</v>
      </c>
      <c r="O13" s="27" t="s">
        <v>21</v>
      </c>
      <c r="P13" s="27" t="s">
        <v>21</v>
      </c>
      <c r="Q13" s="26">
        <f>=IF(G13="x", $F13, 0)</f>
      </c>
      <c r="R13" s="26">
        <f>=IF(H13="x", $F13, 0)</f>
      </c>
      <c r="S13" s="26">
        <f>=IF(I13="x", $F13, 0)</f>
      </c>
      <c r="T13" s="26">
        <f>=IF(J13="x", $F13, 0)</f>
      </c>
      <c r="U13" s="26">
        <f>=IF(K13="x", $F13, 0)</f>
      </c>
      <c r="V13" s="26">
        <f>=IF(L13="x", $F13, 0)</f>
      </c>
      <c r="W13" s="26">
        <f>=IF(M13="x", $F13, 0)</f>
      </c>
      <c r="X13" s="26">
        <f>=IF(N13="x", $F13, 0)</f>
      </c>
      <c r="Y13" s="26">
        <f>=IF(O13="x", $F13, 0)</f>
      </c>
      <c r="Z13" s="26">
        <f>=IF(P13="x", $F13, 0)</f>
      </c>
    </row>
    <row r="14" ht="20" customHeight="1" spans="1:26" x14ac:dyDescent="0.25">
      <c r="A14" s="20">
        <v>9</v>
      </c>
      <c r="B14" s="21" t="s">
        <v>21</v>
      </c>
      <c r="C14" s="21" t="s">
        <v>21</v>
      </c>
      <c r="D14" s="22" t="s">
        <v>21</v>
      </c>
      <c r="E14" s="20">
        <f>=COUNTIF(G14:P14, "x")</f>
      </c>
      <c r="F14" s="22">
        <f>=IF(E14&gt;0, D14/E14, 0)</f>
      </c>
      <c r="G14" s="23" t="s">
        <v>21</v>
      </c>
      <c r="H14" s="23" t="s">
        <v>21</v>
      </c>
      <c r="I14" s="23" t="s">
        <v>21</v>
      </c>
      <c r="J14" s="23" t="s">
        <v>21</v>
      </c>
      <c r="K14" s="23" t="s">
        <v>21</v>
      </c>
      <c r="L14" s="23" t="s">
        <v>21</v>
      </c>
      <c r="M14" s="23" t="s">
        <v>21</v>
      </c>
      <c r="N14" s="23" t="s">
        <v>21</v>
      </c>
      <c r="O14" s="23" t="s">
        <v>21</v>
      </c>
      <c r="P14" s="23" t="s">
        <v>21</v>
      </c>
      <c r="Q14" s="22">
        <f>=IF(G14="x", $F14, 0)</f>
      </c>
      <c r="R14" s="22">
        <f>=IF(H14="x", $F14, 0)</f>
      </c>
      <c r="S14" s="22">
        <f>=IF(I14="x", $F14, 0)</f>
      </c>
      <c r="T14" s="22">
        <f>=IF(J14="x", $F14, 0)</f>
      </c>
      <c r="U14" s="22">
        <f>=IF(K14="x", $F14, 0)</f>
      </c>
      <c r="V14" s="22">
        <f>=IF(L14="x", $F14, 0)</f>
      </c>
      <c r="W14" s="22">
        <f>=IF(M14="x", $F14, 0)</f>
      </c>
      <c r="X14" s="22">
        <f>=IF(N14="x", $F14, 0)</f>
      </c>
      <c r="Y14" s="22">
        <f>=IF(O14="x", $F14, 0)</f>
      </c>
      <c r="Z14" s="22">
        <f>=IF(P14="x", $F14, 0)</f>
      </c>
    </row>
    <row r="15" ht="20" customHeight="1" spans="1:26" x14ac:dyDescent="0.25">
      <c r="A15" s="24">
        <v>10</v>
      </c>
      <c r="B15" s="25" t="s">
        <v>21</v>
      </c>
      <c r="C15" s="25" t="s">
        <v>21</v>
      </c>
      <c r="D15" s="26" t="s">
        <v>21</v>
      </c>
      <c r="E15" s="24">
        <f>=COUNTIF(G15:P15, "x")</f>
      </c>
      <c r="F15" s="26">
        <f>=IF(E15&gt;0, D15/E15, 0)</f>
      </c>
      <c r="G15" s="27" t="s">
        <v>21</v>
      </c>
      <c r="H15" s="27" t="s">
        <v>21</v>
      </c>
      <c r="I15" s="27" t="s">
        <v>21</v>
      </c>
      <c r="J15" s="27" t="s">
        <v>21</v>
      </c>
      <c r="K15" s="27" t="s">
        <v>21</v>
      </c>
      <c r="L15" s="27" t="s">
        <v>21</v>
      </c>
      <c r="M15" s="27" t="s">
        <v>21</v>
      </c>
      <c r="N15" s="27" t="s">
        <v>21</v>
      </c>
      <c r="O15" s="27" t="s">
        <v>21</v>
      </c>
      <c r="P15" s="27" t="s">
        <v>21</v>
      </c>
      <c r="Q15" s="26">
        <f>=IF(G15="x", $F15, 0)</f>
      </c>
      <c r="R15" s="26">
        <f>=IF(H15="x", $F15, 0)</f>
      </c>
      <c r="S15" s="26">
        <f>=IF(I15="x", $F15, 0)</f>
      </c>
      <c r="T15" s="26">
        <f>=IF(J15="x", $F15, 0)</f>
      </c>
      <c r="U15" s="26">
        <f>=IF(K15="x", $F15, 0)</f>
      </c>
      <c r="V15" s="26">
        <f>=IF(L15="x", $F15, 0)</f>
      </c>
      <c r="W15" s="26">
        <f>=IF(M15="x", $F15, 0)</f>
      </c>
      <c r="X15" s="26">
        <f>=IF(N15="x", $F15, 0)</f>
      </c>
      <c r="Y15" s="26">
        <f>=IF(O15="x", $F15, 0)</f>
      </c>
      <c r="Z15" s="26">
        <f>=IF(P15="x", $F15, 0)</f>
      </c>
    </row>
    <row r="16" ht="20" customHeight="1" spans="1:26" x14ac:dyDescent="0.25">
      <c r="A16" s="20">
        <v>11</v>
      </c>
      <c r="B16" s="21" t="s">
        <v>21</v>
      </c>
      <c r="C16" s="21" t="s">
        <v>21</v>
      </c>
      <c r="D16" s="22" t="s">
        <v>21</v>
      </c>
      <c r="E16" s="20">
        <f>=COUNTIF(G16:P16, "x")</f>
      </c>
      <c r="F16" s="22">
        <f>=IF(E16&gt;0, D16/E16, 0)</f>
      </c>
      <c r="G16" s="23" t="s">
        <v>21</v>
      </c>
      <c r="H16" s="23" t="s">
        <v>21</v>
      </c>
      <c r="I16" s="23" t="s">
        <v>21</v>
      </c>
      <c r="J16" s="23" t="s">
        <v>21</v>
      </c>
      <c r="K16" s="23" t="s">
        <v>21</v>
      </c>
      <c r="L16" s="23" t="s">
        <v>21</v>
      </c>
      <c r="M16" s="23" t="s">
        <v>21</v>
      </c>
      <c r="N16" s="23" t="s">
        <v>21</v>
      </c>
      <c r="O16" s="23" t="s">
        <v>21</v>
      </c>
      <c r="P16" s="23" t="s">
        <v>21</v>
      </c>
      <c r="Q16" s="22">
        <f>=IF(G16="x", $F16, 0)</f>
      </c>
      <c r="R16" s="22">
        <f>=IF(H16="x", $F16, 0)</f>
      </c>
      <c r="S16" s="22">
        <f>=IF(I16="x", $F16, 0)</f>
      </c>
      <c r="T16" s="22">
        <f>=IF(J16="x", $F16, 0)</f>
      </c>
      <c r="U16" s="22">
        <f>=IF(K16="x", $F16, 0)</f>
      </c>
      <c r="V16" s="22">
        <f>=IF(L16="x", $F16, 0)</f>
      </c>
      <c r="W16" s="22">
        <f>=IF(M16="x", $F16, 0)</f>
      </c>
      <c r="X16" s="22">
        <f>=IF(N16="x", $F16, 0)</f>
      </c>
      <c r="Y16" s="22">
        <f>=IF(O16="x", $F16, 0)</f>
      </c>
      <c r="Z16" s="22">
        <f>=IF(P16="x", $F16, 0)</f>
      </c>
    </row>
    <row r="17" ht="20" customHeight="1" spans="1:26" x14ac:dyDescent="0.25">
      <c r="A17" s="24">
        <v>12</v>
      </c>
      <c r="B17" s="25" t="s">
        <v>21</v>
      </c>
      <c r="C17" s="25" t="s">
        <v>21</v>
      </c>
      <c r="D17" s="26" t="s">
        <v>21</v>
      </c>
      <c r="E17" s="24">
        <f>=COUNTIF(G17:P17, "x")</f>
      </c>
      <c r="F17" s="26">
        <f>=IF(E17&gt;0, D17/E17, 0)</f>
      </c>
      <c r="G17" s="27" t="s">
        <v>21</v>
      </c>
      <c r="H17" s="27" t="s">
        <v>21</v>
      </c>
      <c r="I17" s="27" t="s">
        <v>21</v>
      </c>
      <c r="J17" s="27" t="s">
        <v>21</v>
      </c>
      <c r="K17" s="27" t="s">
        <v>21</v>
      </c>
      <c r="L17" s="27" t="s">
        <v>21</v>
      </c>
      <c r="M17" s="27" t="s">
        <v>21</v>
      </c>
      <c r="N17" s="27" t="s">
        <v>21</v>
      </c>
      <c r="O17" s="27" t="s">
        <v>21</v>
      </c>
      <c r="P17" s="27" t="s">
        <v>21</v>
      </c>
      <c r="Q17" s="26">
        <f>=IF(G17="x", $F17, 0)</f>
      </c>
      <c r="R17" s="26">
        <f>=IF(H17="x", $F17, 0)</f>
      </c>
      <c r="S17" s="26">
        <f>=IF(I17="x", $F17, 0)</f>
      </c>
      <c r="T17" s="26">
        <f>=IF(J17="x", $F17, 0)</f>
      </c>
      <c r="U17" s="26">
        <f>=IF(K17="x", $F17, 0)</f>
      </c>
      <c r="V17" s="26">
        <f>=IF(L17="x", $F17, 0)</f>
      </c>
      <c r="W17" s="26">
        <f>=IF(M17="x", $F17, 0)</f>
      </c>
      <c r="X17" s="26">
        <f>=IF(N17="x", $F17, 0)</f>
      </c>
      <c r="Y17" s="26">
        <f>=IF(O17="x", $F17, 0)</f>
      </c>
      <c r="Z17" s="26">
        <f>=IF(P17="x", $F17, 0)</f>
      </c>
    </row>
    <row r="18" ht="20" customHeight="1" spans="1:26" x14ac:dyDescent="0.25">
      <c r="A18" s="20">
        <v>13</v>
      </c>
      <c r="B18" s="21" t="s">
        <v>21</v>
      </c>
      <c r="C18" s="21" t="s">
        <v>21</v>
      </c>
      <c r="D18" s="22" t="s">
        <v>21</v>
      </c>
      <c r="E18" s="20">
        <f>=COUNTIF(G18:P18, "x")</f>
      </c>
      <c r="F18" s="22">
        <f>=IF(E18&gt;0, D18/E18, 0)</f>
      </c>
      <c r="G18" s="23" t="s">
        <v>21</v>
      </c>
      <c r="H18" s="23" t="s">
        <v>21</v>
      </c>
      <c r="I18" s="23" t="s">
        <v>21</v>
      </c>
      <c r="J18" s="23" t="s">
        <v>21</v>
      </c>
      <c r="K18" s="23" t="s">
        <v>21</v>
      </c>
      <c r="L18" s="23" t="s">
        <v>21</v>
      </c>
      <c r="M18" s="23" t="s">
        <v>21</v>
      </c>
      <c r="N18" s="23" t="s">
        <v>21</v>
      </c>
      <c r="O18" s="23" t="s">
        <v>21</v>
      </c>
      <c r="P18" s="23" t="s">
        <v>21</v>
      </c>
      <c r="Q18" s="22">
        <f>=IF(G18="x", $F18, 0)</f>
      </c>
      <c r="R18" s="22">
        <f>=IF(H18="x", $F18, 0)</f>
      </c>
      <c r="S18" s="22">
        <f>=IF(I18="x", $F18, 0)</f>
      </c>
      <c r="T18" s="22">
        <f>=IF(J18="x", $F18, 0)</f>
      </c>
      <c r="U18" s="22">
        <f>=IF(K18="x", $F18, 0)</f>
      </c>
      <c r="V18" s="22">
        <f>=IF(L18="x", $F18, 0)</f>
      </c>
      <c r="W18" s="22">
        <f>=IF(M18="x", $F18, 0)</f>
      </c>
      <c r="X18" s="22">
        <f>=IF(N18="x", $F18, 0)</f>
      </c>
      <c r="Y18" s="22">
        <f>=IF(O18="x", $F18, 0)</f>
      </c>
      <c r="Z18" s="22">
        <f>=IF(P18="x", $F18, 0)</f>
      </c>
    </row>
    <row r="19" ht="20" customHeight="1" spans="1:26" x14ac:dyDescent="0.25">
      <c r="A19" s="24">
        <v>14</v>
      </c>
      <c r="B19" s="25" t="s">
        <v>21</v>
      </c>
      <c r="C19" s="25" t="s">
        <v>21</v>
      </c>
      <c r="D19" s="26" t="s">
        <v>21</v>
      </c>
      <c r="E19" s="24">
        <f>=COUNTIF(G19:P19, "x")</f>
      </c>
      <c r="F19" s="26">
        <f>=IF(E19&gt;0, D19/E19, 0)</f>
      </c>
      <c r="G19" s="27" t="s">
        <v>21</v>
      </c>
      <c r="H19" s="27" t="s">
        <v>21</v>
      </c>
      <c r="I19" s="27" t="s">
        <v>21</v>
      </c>
      <c r="J19" s="27" t="s">
        <v>21</v>
      </c>
      <c r="K19" s="27" t="s">
        <v>21</v>
      </c>
      <c r="L19" s="27" t="s">
        <v>21</v>
      </c>
      <c r="M19" s="27" t="s">
        <v>21</v>
      </c>
      <c r="N19" s="27" t="s">
        <v>21</v>
      </c>
      <c r="O19" s="27" t="s">
        <v>21</v>
      </c>
      <c r="P19" s="27" t="s">
        <v>21</v>
      </c>
      <c r="Q19" s="26">
        <f>=IF(G19="x", $F19, 0)</f>
      </c>
      <c r="R19" s="26">
        <f>=IF(H19="x", $F19, 0)</f>
      </c>
      <c r="S19" s="26">
        <f>=IF(I19="x", $F19, 0)</f>
      </c>
      <c r="T19" s="26">
        <f>=IF(J19="x", $F19, 0)</f>
      </c>
      <c r="U19" s="26">
        <f>=IF(K19="x", $F19, 0)</f>
      </c>
      <c r="V19" s="26">
        <f>=IF(L19="x", $F19, 0)</f>
      </c>
      <c r="W19" s="26">
        <f>=IF(M19="x", $F19, 0)</f>
      </c>
      <c r="X19" s="26">
        <f>=IF(N19="x", $F19, 0)</f>
      </c>
      <c r="Y19" s="26">
        <f>=IF(O19="x", $F19, 0)</f>
      </c>
      <c r="Z19" s="26">
        <f>=IF(P19="x", $F19, 0)</f>
      </c>
    </row>
    <row r="20" ht="20" customHeight="1" spans="1:26" x14ac:dyDescent="0.25">
      <c r="A20" s="20">
        <v>15</v>
      </c>
      <c r="B20" s="21" t="s">
        <v>21</v>
      </c>
      <c r="C20" s="21" t="s">
        <v>21</v>
      </c>
      <c r="D20" s="22" t="s">
        <v>21</v>
      </c>
      <c r="E20" s="20">
        <f>=COUNTIF(G20:P20, "x")</f>
      </c>
      <c r="F20" s="22">
        <f>=IF(E20&gt;0, D20/E20, 0)</f>
      </c>
      <c r="G20" s="23" t="s">
        <v>21</v>
      </c>
      <c r="H20" s="23" t="s">
        <v>21</v>
      </c>
      <c r="I20" s="23" t="s">
        <v>21</v>
      </c>
      <c r="J20" s="23" t="s">
        <v>21</v>
      </c>
      <c r="K20" s="23" t="s">
        <v>21</v>
      </c>
      <c r="L20" s="23" t="s">
        <v>21</v>
      </c>
      <c r="M20" s="23" t="s">
        <v>21</v>
      </c>
      <c r="N20" s="23" t="s">
        <v>21</v>
      </c>
      <c r="O20" s="23" t="s">
        <v>21</v>
      </c>
      <c r="P20" s="23" t="s">
        <v>21</v>
      </c>
      <c r="Q20" s="22">
        <f>=IF(G20="x", $F20, 0)</f>
      </c>
      <c r="R20" s="22">
        <f>=IF(H20="x", $F20, 0)</f>
      </c>
      <c r="S20" s="22">
        <f>=IF(I20="x", $F20, 0)</f>
      </c>
      <c r="T20" s="22">
        <f>=IF(J20="x", $F20, 0)</f>
      </c>
      <c r="U20" s="22">
        <f>=IF(K20="x", $F20, 0)</f>
      </c>
      <c r="V20" s="22">
        <f>=IF(L20="x", $F20, 0)</f>
      </c>
      <c r="W20" s="22">
        <f>=IF(M20="x", $F20, 0)</f>
      </c>
      <c r="X20" s="22">
        <f>=IF(N20="x", $F20, 0)</f>
      </c>
      <c r="Y20" s="22">
        <f>=IF(O20="x", $F20, 0)</f>
      </c>
      <c r="Z20" s="22">
        <f>=IF(P20="x", $F20, 0)</f>
      </c>
    </row>
    <row r="21" ht="20" customHeight="1" spans="1:26" x14ac:dyDescent="0.25">
      <c r="A21" s="24">
        <v>16</v>
      </c>
      <c r="B21" s="25" t="s">
        <v>21</v>
      </c>
      <c r="C21" s="25" t="s">
        <v>21</v>
      </c>
      <c r="D21" s="26" t="s">
        <v>21</v>
      </c>
      <c r="E21" s="24">
        <f>=COUNTIF(G21:P21, "x")</f>
      </c>
      <c r="F21" s="26">
        <f>=IF(E21&gt;0, D21/E21, 0)</f>
      </c>
      <c r="G21" s="27" t="s">
        <v>21</v>
      </c>
      <c r="H21" s="27" t="s">
        <v>21</v>
      </c>
      <c r="I21" s="27" t="s">
        <v>21</v>
      </c>
      <c r="J21" s="27" t="s">
        <v>21</v>
      </c>
      <c r="K21" s="27" t="s">
        <v>21</v>
      </c>
      <c r="L21" s="27" t="s">
        <v>21</v>
      </c>
      <c r="M21" s="27" t="s">
        <v>21</v>
      </c>
      <c r="N21" s="27" t="s">
        <v>21</v>
      </c>
      <c r="O21" s="27" t="s">
        <v>21</v>
      </c>
      <c r="P21" s="27" t="s">
        <v>21</v>
      </c>
      <c r="Q21" s="26">
        <f>=IF(G21="x", $F21, 0)</f>
      </c>
      <c r="R21" s="26">
        <f>=IF(H21="x", $F21, 0)</f>
      </c>
      <c r="S21" s="26">
        <f>=IF(I21="x", $F21, 0)</f>
      </c>
      <c r="T21" s="26">
        <f>=IF(J21="x", $F21, 0)</f>
      </c>
      <c r="U21" s="26">
        <f>=IF(K21="x", $F21, 0)</f>
      </c>
      <c r="V21" s="26">
        <f>=IF(L21="x", $F21, 0)</f>
      </c>
      <c r="W21" s="26">
        <f>=IF(M21="x", $F21, 0)</f>
      </c>
      <c r="X21" s="26">
        <f>=IF(N21="x", $F21, 0)</f>
      </c>
      <c r="Y21" s="26">
        <f>=IF(O21="x", $F21, 0)</f>
      </c>
      <c r="Z21" s="26">
        <f>=IF(P21="x", $F21, 0)</f>
      </c>
    </row>
    <row r="22" ht="20" customHeight="1" spans="1:26" x14ac:dyDescent="0.25">
      <c r="A22" s="20">
        <v>17</v>
      </c>
      <c r="B22" s="21" t="s">
        <v>21</v>
      </c>
      <c r="C22" s="21" t="s">
        <v>21</v>
      </c>
      <c r="D22" s="22" t="s">
        <v>21</v>
      </c>
      <c r="E22" s="20">
        <f>=COUNTIF(G22:P22, "x")</f>
      </c>
      <c r="F22" s="22">
        <f>=IF(E22&gt;0, D22/E22, 0)</f>
      </c>
      <c r="G22" s="23" t="s">
        <v>21</v>
      </c>
      <c r="H22" s="23" t="s">
        <v>21</v>
      </c>
      <c r="I22" s="23" t="s">
        <v>21</v>
      </c>
      <c r="J22" s="23" t="s">
        <v>21</v>
      </c>
      <c r="K22" s="23" t="s">
        <v>21</v>
      </c>
      <c r="L22" s="23" t="s">
        <v>21</v>
      </c>
      <c r="M22" s="23" t="s">
        <v>21</v>
      </c>
      <c r="N22" s="23" t="s">
        <v>21</v>
      </c>
      <c r="O22" s="23" t="s">
        <v>21</v>
      </c>
      <c r="P22" s="23" t="s">
        <v>21</v>
      </c>
      <c r="Q22" s="22">
        <f>=IF(G22="x", $F22, 0)</f>
      </c>
      <c r="R22" s="22">
        <f>=IF(H22="x", $F22, 0)</f>
      </c>
      <c r="S22" s="22">
        <f>=IF(I22="x", $F22, 0)</f>
      </c>
      <c r="T22" s="22">
        <f>=IF(J22="x", $F22, 0)</f>
      </c>
      <c r="U22" s="22">
        <f>=IF(K22="x", $F22, 0)</f>
      </c>
      <c r="V22" s="22">
        <f>=IF(L22="x", $F22, 0)</f>
      </c>
      <c r="W22" s="22">
        <f>=IF(M22="x", $F22, 0)</f>
      </c>
      <c r="X22" s="22">
        <f>=IF(N22="x", $F22, 0)</f>
      </c>
      <c r="Y22" s="22">
        <f>=IF(O22="x", $F22, 0)</f>
      </c>
      <c r="Z22" s="22">
        <f>=IF(P22="x", $F22, 0)</f>
      </c>
    </row>
    <row r="23" ht="20" customHeight="1" spans="1:26" x14ac:dyDescent="0.25">
      <c r="A23" s="24">
        <v>18</v>
      </c>
      <c r="B23" s="25" t="s">
        <v>21</v>
      </c>
      <c r="C23" s="25" t="s">
        <v>21</v>
      </c>
      <c r="D23" s="26" t="s">
        <v>21</v>
      </c>
      <c r="E23" s="24">
        <f>=COUNTIF(G23:P23, "x")</f>
      </c>
      <c r="F23" s="26">
        <f>=IF(E23&gt;0, D23/E23, 0)</f>
      </c>
      <c r="G23" s="27" t="s">
        <v>21</v>
      </c>
      <c r="H23" s="27" t="s">
        <v>21</v>
      </c>
      <c r="I23" s="27" t="s">
        <v>21</v>
      </c>
      <c r="J23" s="27" t="s">
        <v>21</v>
      </c>
      <c r="K23" s="27" t="s">
        <v>21</v>
      </c>
      <c r="L23" s="27" t="s">
        <v>21</v>
      </c>
      <c r="M23" s="27" t="s">
        <v>21</v>
      </c>
      <c r="N23" s="27" t="s">
        <v>21</v>
      </c>
      <c r="O23" s="27" t="s">
        <v>21</v>
      </c>
      <c r="P23" s="27" t="s">
        <v>21</v>
      </c>
      <c r="Q23" s="26">
        <f>=IF(G23="x", $F23, 0)</f>
      </c>
      <c r="R23" s="26">
        <f>=IF(H23="x", $F23, 0)</f>
      </c>
      <c r="S23" s="26">
        <f>=IF(I23="x", $F23, 0)</f>
      </c>
      <c r="T23" s="26">
        <f>=IF(J23="x", $F23, 0)</f>
      </c>
      <c r="U23" s="26">
        <f>=IF(K23="x", $F23, 0)</f>
      </c>
      <c r="V23" s="26">
        <f>=IF(L23="x", $F23, 0)</f>
      </c>
      <c r="W23" s="26">
        <f>=IF(M23="x", $F23, 0)</f>
      </c>
      <c r="X23" s="26">
        <f>=IF(N23="x", $F23, 0)</f>
      </c>
      <c r="Y23" s="26">
        <f>=IF(O23="x", $F23, 0)</f>
      </c>
      <c r="Z23" s="26">
        <f>=IF(P23="x", $F23, 0)</f>
      </c>
    </row>
    <row r="24" ht="20" customHeight="1" spans="1:26" x14ac:dyDescent="0.25">
      <c r="A24" s="20">
        <v>19</v>
      </c>
      <c r="B24" s="21" t="s">
        <v>21</v>
      </c>
      <c r="C24" s="21" t="s">
        <v>21</v>
      </c>
      <c r="D24" s="22" t="s">
        <v>21</v>
      </c>
      <c r="E24" s="20">
        <f>=COUNTIF(G24:P24, "x")</f>
      </c>
      <c r="F24" s="22">
        <f>=IF(E24&gt;0, D24/E24, 0)</f>
      </c>
      <c r="G24" s="23" t="s">
        <v>21</v>
      </c>
      <c r="H24" s="23" t="s">
        <v>21</v>
      </c>
      <c r="I24" s="23" t="s">
        <v>21</v>
      </c>
      <c r="J24" s="23" t="s">
        <v>21</v>
      </c>
      <c r="K24" s="23" t="s">
        <v>21</v>
      </c>
      <c r="L24" s="23" t="s">
        <v>21</v>
      </c>
      <c r="M24" s="23" t="s">
        <v>21</v>
      </c>
      <c r="N24" s="23" t="s">
        <v>21</v>
      </c>
      <c r="O24" s="23" t="s">
        <v>21</v>
      </c>
      <c r="P24" s="23" t="s">
        <v>21</v>
      </c>
      <c r="Q24" s="22">
        <f>=IF(G24="x", $F24, 0)</f>
      </c>
      <c r="R24" s="22">
        <f>=IF(H24="x", $F24, 0)</f>
      </c>
      <c r="S24" s="22">
        <f>=IF(I24="x", $F24, 0)</f>
      </c>
      <c r="T24" s="22">
        <f>=IF(J24="x", $F24, 0)</f>
      </c>
      <c r="U24" s="22">
        <f>=IF(K24="x", $F24, 0)</f>
      </c>
      <c r="V24" s="22">
        <f>=IF(L24="x", $F24, 0)</f>
      </c>
      <c r="W24" s="22">
        <f>=IF(M24="x", $F24, 0)</f>
      </c>
      <c r="X24" s="22">
        <f>=IF(N24="x", $F24, 0)</f>
      </c>
      <c r="Y24" s="22">
        <f>=IF(O24="x", $F24, 0)</f>
      </c>
      <c r="Z24" s="22">
        <f>=IF(P24="x", $F24, 0)</f>
      </c>
    </row>
    <row r="25" ht="20" customHeight="1" spans="1:26" x14ac:dyDescent="0.25">
      <c r="A25" s="24">
        <v>20</v>
      </c>
      <c r="B25" s="25" t="s">
        <v>21</v>
      </c>
      <c r="C25" s="25" t="s">
        <v>21</v>
      </c>
      <c r="D25" s="26" t="s">
        <v>21</v>
      </c>
      <c r="E25" s="24">
        <f>=COUNTIF(G25:P25, "x")</f>
      </c>
      <c r="F25" s="26">
        <f>=IF(E25&gt;0, D25/E25, 0)</f>
      </c>
      <c r="G25" s="27" t="s">
        <v>21</v>
      </c>
      <c r="H25" s="27" t="s">
        <v>21</v>
      </c>
      <c r="I25" s="27" t="s">
        <v>21</v>
      </c>
      <c r="J25" s="27" t="s">
        <v>21</v>
      </c>
      <c r="K25" s="27" t="s">
        <v>21</v>
      </c>
      <c r="L25" s="27" t="s">
        <v>21</v>
      </c>
      <c r="M25" s="27" t="s">
        <v>21</v>
      </c>
      <c r="N25" s="27" t="s">
        <v>21</v>
      </c>
      <c r="O25" s="27" t="s">
        <v>21</v>
      </c>
      <c r="P25" s="27" t="s">
        <v>21</v>
      </c>
      <c r="Q25" s="26">
        <f>=IF(G25="x", $F25, 0)</f>
      </c>
      <c r="R25" s="26">
        <f>=IF(H25="x", $F25, 0)</f>
      </c>
      <c r="S25" s="26">
        <f>=IF(I25="x", $F25, 0)</f>
      </c>
      <c r="T25" s="26">
        <f>=IF(J25="x", $F25, 0)</f>
      </c>
      <c r="U25" s="26">
        <f>=IF(K25="x", $F25, 0)</f>
      </c>
      <c r="V25" s="26">
        <f>=IF(L25="x", $F25, 0)</f>
      </c>
      <c r="W25" s="26">
        <f>=IF(M25="x", $F25, 0)</f>
      </c>
      <c r="X25" s="26">
        <f>=IF(N25="x", $F25, 0)</f>
      </c>
      <c r="Y25" s="26">
        <f>=IF(O25="x", $F25, 0)</f>
      </c>
      <c r="Z25" s="26">
        <f>=IF(P25="x", $F25, 0)</f>
      </c>
    </row>
    <row r="26" ht="20" customHeight="1" spans="1:26" x14ac:dyDescent="0.25">
      <c r="A26" s="20">
        <v>21</v>
      </c>
      <c r="B26" s="21" t="s">
        <v>21</v>
      </c>
      <c r="C26" s="21" t="s">
        <v>21</v>
      </c>
      <c r="D26" s="22" t="s">
        <v>21</v>
      </c>
      <c r="E26" s="20">
        <f>=COUNTIF(G26:P26, "x")</f>
      </c>
      <c r="F26" s="22">
        <f>=IF(E26&gt;0, D26/E26, 0)</f>
      </c>
      <c r="G26" s="23" t="s">
        <v>21</v>
      </c>
      <c r="H26" s="23" t="s">
        <v>21</v>
      </c>
      <c r="I26" s="23" t="s">
        <v>21</v>
      </c>
      <c r="J26" s="23" t="s">
        <v>21</v>
      </c>
      <c r="K26" s="23" t="s">
        <v>21</v>
      </c>
      <c r="L26" s="23" t="s">
        <v>21</v>
      </c>
      <c r="M26" s="23" t="s">
        <v>21</v>
      </c>
      <c r="N26" s="23" t="s">
        <v>21</v>
      </c>
      <c r="O26" s="23" t="s">
        <v>21</v>
      </c>
      <c r="P26" s="23" t="s">
        <v>21</v>
      </c>
      <c r="Q26" s="22">
        <f>=IF(G26="x", $F26, 0)</f>
      </c>
      <c r="R26" s="22">
        <f>=IF(H26="x", $F26, 0)</f>
      </c>
      <c r="S26" s="22">
        <f>=IF(I26="x", $F26, 0)</f>
      </c>
      <c r="T26" s="22">
        <f>=IF(J26="x", $F26, 0)</f>
      </c>
      <c r="U26" s="22">
        <f>=IF(K26="x", $F26, 0)</f>
      </c>
      <c r="V26" s="22">
        <f>=IF(L26="x", $F26, 0)</f>
      </c>
      <c r="W26" s="22">
        <f>=IF(M26="x", $F26, 0)</f>
      </c>
      <c r="X26" s="22">
        <f>=IF(N26="x", $F26, 0)</f>
      </c>
      <c r="Y26" s="22">
        <f>=IF(O26="x", $F26, 0)</f>
      </c>
      <c r="Z26" s="22">
        <f>=IF(P26="x", $F26, 0)</f>
      </c>
    </row>
    <row r="27" ht="20" customHeight="1" spans="1:26" x14ac:dyDescent="0.25">
      <c r="A27" s="24">
        <v>22</v>
      </c>
      <c r="B27" s="25" t="s">
        <v>21</v>
      </c>
      <c r="C27" s="25" t="s">
        <v>21</v>
      </c>
      <c r="D27" s="26" t="s">
        <v>21</v>
      </c>
      <c r="E27" s="24">
        <f>=COUNTIF(G27:P27, "x")</f>
      </c>
      <c r="F27" s="26">
        <f>=IF(E27&gt;0, D27/E27, 0)</f>
      </c>
      <c r="G27" s="27" t="s">
        <v>21</v>
      </c>
      <c r="H27" s="27" t="s">
        <v>21</v>
      </c>
      <c r="I27" s="27" t="s">
        <v>21</v>
      </c>
      <c r="J27" s="27" t="s">
        <v>21</v>
      </c>
      <c r="K27" s="27" t="s">
        <v>21</v>
      </c>
      <c r="L27" s="27" t="s">
        <v>21</v>
      </c>
      <c r="M27" s="27" t="s">
        <v>21</v>
      </c>
      <c r="N27" s="27" t="s">
        <v>21</v>
      </c>
      <c r="O27" s="27" t="s">
        <v>21</v>
      </c>
      <c r="P27" s="27" t="s">
        <v>21</v>
      </c>
      <c r="Q27" s="26">
        <f>=IF(G27="x", $F27, 0)</f>
      </c>
      <c r="R27" s="26">
        <f>=IF(H27="x", $F27, 0)</f>
      </c>
      <c r="S27" s="26">
        <f>=IF(I27="x", $F27, 0)</f>
      </c>
      <c r="T27" s="26">
        <f>=IF(J27="x", $F27, 0)</f>
      </c>
      <c r="U27" s="26">
        <f>=IF(K27="x", $F27, 0)</f>
      </c>
      <c r="V27" s="26">
        <f>=IF(L27="x", $F27, 0)</f>
      </c>
      <c r="W27" s="26">
        <f>=IF(M27="x", $F27, 0)</f>
      </c>
      <c r="X27" s="26">
        <f>=IF(N27="x", $F27, 0)</f>
      </c>
      <c r="Y27" s="26">
        <f>=IF(O27="x", $F27, 0)</f>
      </c>
      <c r="Z27" s="26">
        <f>=IF(P27="x", $F27, 0)</f>
      </c>
    </row>
    <row r="28" ht="20" customHeight="1" spans="1:26" x14ac:dyDescent="0.25">
      <c r="A28" s="20">
        <v>23</v>
      </c>
      <c r="B28" s="21" t="s">
        <v>21</v>
      </c>
      <c r="C28" s="21" t="s">
        <v>21</v>
      </c>
      <c r="D28" s="22" t="s">
        <v>21</v>
      </c>
      <c r="E28" s="20">
        <f>=COUNTIF(G28:P28, "x")</f>
      </c>
      <c r="F28" s="22">
        <f>=IF(E28&gt;0, D28/E28, 0)</f>
      </c>
      <c r="G28" s="23" t="s">
        <v>21</v>
      </c>
      <c r="H28" s="23" t="s">
        <v>21</v>
      </c>
      <c r="I28" s="23" t="s">
        <v>21</v>
      </c>
      <c r="J28" s="23" t="s">
        <v>21</v>
      </c>
      <c r="K28" s="23" t="s">
        <v>21</v>
      </c>
      <c r="L28" s="23" t="s">
        <v>21</v>
      </c>
      <c r="M28" s="23" t="s">
        <v>21</v>
      </c>
      <c r="N28" s="23" t="s">
        <v>21</v>
      </c>
      <c r="O28" s="23" t="s">
        <v>21</v>
      </c>
      <c r="P28" s="23" t="s">
        <v>21</v>
      </c>
      <c r="Q28" s="22">
        <f>=IF(G28="x", $F28, 0)</f>
      </c>
      <c r="R28" s="22">
        <f>=IF(H28="x", $F28, 0)</f>
      </c>
      <c r="S28" s="22">
        <f>=IF(I28="x", $F28, 0)</f>
      </c>
      <c r="T28" s="22">
        <f>=IF(J28="x", $F28, 0)</f>
      </c>
      <c r="U28" s="22">
        <f>=IF(K28="x", $F28, 0)</f>
      </c>
      <c r="V28" s="22">
        <f>=IF(L28="x", $F28, 0)</f>
      </c>
      <c r="W28" s="22">
        <f>=IF(M28="x", $F28, 0)</f>
      </c>
      <c r="X28" s="22">
        <f>=IF(N28="x", $F28, 0)</f>
      </c>
      <c r="Y28" s="22">
        <f>=IF(O28="x", $F28, 0)</f>
      </c>
      <c r="Z28" s="22">
        <f>=IF(P28="x", $F28, 0)</f>
      </c>
    </row>
    <row r="29" ht="20" customHeight="1" spans="1:26" x14ac:dyDescent="0.25">
      <c r="A29" s="24">
        <v>24</v>
      </c>
      <c r="B29" s="25" t="s">
        <v>21</v>
      </c>
      <c r="C29" s="25" t="s">
        <v>21</v>
      </c>
      <c r="D29" s="26" t="s">
        <v>21</v>
      </c>
      <c r="E29" s="24">
        <f>=COUNTIF(G29:P29, "x")</f>
      </c>
      <c r="F29" s="26">
        <f>=IF(E29&gt;0, D29/E29, 0)</f>
      </c>
      <c r="G29" s="27" t="s">
        <v>21</v>
      </c>
      <c r="H29" s="27" t="s">
        <v>21</v>
      </c>
      <c r="I29" s="27" t="s">
        <v>21</v>
      </c>
      <c r="J29" s="27" t="s">
        <v>21</v>
      </c>
      <c r="K29" s="27" t="s">
        <v>21</v>
      </c>
      <c r="L29" s="27" t="s">
        <v>21</v>
      </c>
      <c r="M29" s="27" t="s">
        <v>21</v>
      </c>
      <c r="N29" s="27" t="s">
        <v>21</v>
      </c>
      <c r="O29" s="27" t="s">
        <v>21</v>
      </c>
      <c r="P29" s="27" t="s">
        <v>21</v>
      </c>
      <c r="Q29" s="26">
        <f>=IF(G29="x", $F29, 0)</f>
      </c>
      <c r="R29" s="26">
        <f>=IF(H29="x", $F29, 0)</f>
      </c>
      <c r="S29" s="26">
        <f>=IF(I29="x", $F29, 0)</f>
      </c>
      <c r="T29" s="26">
        <f>=IF(J29="x", $F29, 0)</f>
      </c>
      <c r="U29" s="26">
        <f>=IF(K29="x", $F29, 0)</f>
      </c>
      <c r="V29" s="26">
        <f>=IF(L29="x", $F29, 0)</f>
      </c>
      <c r="W29" s="26">
        <f>=IF(M29="x", $F29, 0)</f>
      </c>
      <c r="X29" s="26">
        <f>=IF(N29="x", $F29, 0)</f>
      </c>
      <c r="Y29" s="26">
        <f>=IF(O29="x", $F29, 0)</f>
      </c>
      <c r="Z29" s="26">
        <f>=IF(P29="x", $F29, 0)</f>
      </c>
    </row>
    <row r="30" ht="20" customHeight="1" spans="1:26" x14ac:dyDescent="0.25">
      <c r="A30" s="20">
        <v>25</v>
      </c>
      <c r="B30" s="21" t="s">
        <v>21</v>
      </c>
      <c r="C30" s="21" t="s">
        <v>21</v>
      </c>
      <c r="D30" s="22" t="s">
        <v>21</v>
      </c>
      <c r="E30" s="20">
        <f>=COUNTIF(G30:P30, "x")</f>
      </c>
      <c r="F30" s="22">
        <f>=IF(E30&gt;0, D30/E30, 0)</f>
      </c>
      <c r="G30" s="23" t="s">
        <v>21</v>
      </c>
      <c r="H30" s="23" t="s">
        <v>21</v>
      </c>
      <c r="I30" s="23" t="s">
        <v>21</v>
      </c>
      <c r="J30" s="23" t="s">
        <v>21</v>
      </c>
      <c r="K30" s="23" t="s">
        <v>21</v>
      </c>
      <c r="L30" s="23" t="s">
        <v>21</v>
      </c>
      <c r="M30" s="23" t="s">
        <v>21</v>
      </c>
      <c r="N30" s="23" t="s">
        <v>21</v>
      </c>
      <c r="O30" s="23" t="s">
        <v>21</v>
      </c>
      <c r="P30" s="23" t="s">
        <v>21</v>
      </c>
      <c r="Q30" s="22">
        <f>=IF(G30="x", $F30, 0)</f>
      </c>
      <c r="R30" s="22">
        <f>=IF(H30="x", $F30, 0)</f>
      </c>
      <c r="S30" s="22">
        <f>=IF(I30="x", $F30, 0)</f>
      </c>
      <c r="T30" s="22">
        <f>=IF(J30="x", $F30, 0)</f>
      </c>
      <c r="U30" s="22">
        <f>=IF(K30="x", $F30, 0)</f>
      </c>
      <c r="V30" s="22">
        <f>=IF(L30="x", $F30, 0)</f>
      </c>
      <c r="W30" s="22">
        <f>=IF(M30="x", $F30, 0)</f>
      </c>
      <c r="X30" s="22">
        <f>=IF(N30="x", $F30, 0)</f>
      </c>
      <c r="Y30" s="22">
        <f>=IF(O30="x", $F30, 0)</f>
      </c>
      <c r="Z30" s="22">
        <f>=IF(P30="x", $F30, 0)</f>
      </c>
    </row>
    <row r="31" ht="20" customHeight="1" spans="1:26" x14ac:dyDescent="0.25">
      <c r="A31" s="24">
        <v>26</v>
      </c>
      <c r="B31" s="25" t="s">
        <v>21</v>
      </c>
      <c r="C31" s="25" t="s">
        <v>21</v>
      </c>
      <c r="D31" s="26" t="s">
        <v>21</v>
      </c>
      <c r="E31" s="24">
        <f>=COUNTIF(G31:P31, "x")</f>
      </c>
      <c r="F31" s="26">
        <f>=IF(E31&gt;0, D31/E31, 0)</f>
      </c>
      <c r="G31" s="27" t="s">
        <v>21</v>
      </c>
      <c r="H31" s="27" t="s">
        <v>21</v>
      </c>
      <c r="I31" s="27" t="s">
        <v>21</v>
      </c>
      <c r="J31" s="27" t="s">
        <v>21</v>
      </c>
      <c r="K31" s="27" t="s">
        <v>21</v>
      </c>
      <c r="L31" s="27" t="s">
        <v>21</v>
      </c>
      <c r="M31" s="27" t="s">
        <v>21</v>
      </c>
      <c r="N31" s="27" t="s">
        <v>21</v>
      </c>
      <c r="O31" s="27" t="s">
        <v>21</v>
      </c>
      <c r="P31" s="27" t="s">
        <v>21</v>
      </c>
      <c r="Q31" s="26">
        <f>=IF(G31="x", $F31, 0)</f>
      </c>
      <c r="R31" s="26">
        <f>=IF(H31="x", $F31, 0)</f>
      </c>
      <c r="S31" s="26">
        <f>=IF(I31="x", $F31, 0)</f>
      </c>
      <c r="T31" s="26">
        <f>=IF(J31="x", $F31, 0)</f>
      </c>
      <c r="U31" s="26">
        <f>=IF(K31="x", $F31, 0)</f>
      </c>
      <c r="V31" s="26">
        <f>=IF(L31="x", $F31, 0)</f>
      </c>
      <c r="W31" s="26">
        <f>=IF(M31="x", $F31, 0)</f>
      </c>
      <c r="X31" s="26">
        <f>=IF(N31="x", $F31, 0)</f>
      </c>
      <c r="Y31" s="26">
        <f>=IF(O31="x", $F31, 0)</f>
      </c>
      <c r="Z31" s="26">
        <f>=IF(P31="x", $F31, 0)</f>
      </c>
    </row>
    <row r="32" ht="20" customHeight="1" spans="1:26" x14ac:dyDescent="0.25">
      <c r="A32" s="20">
        <v>27</v>
      </c>
      <c r="B32" s="21" t="s">
        <v>21</v>
      </c>
      <c r="C32" s="21" t="s">
        <v>21</v>
      </c>
      <c r="D32" s="22" t="s">
        <v>21</v>
      </c>
      <c r="E32" s="20">
        <f>=COUNTIF(G32:P32, "x")</f>
      </c>
      <c r="F32" s="22">
        <f>=IF(E32&gt;0, D32/E32, 0)</f>
      </c>
      <c r="G32" s="23" t="s">
        <v>21</v>
      </c>
      <c r="H32" s="23" t="s">
        <v>21</v>
      </c>
      <c r="I32" s="23" t="s">
        <v>21</v>
      </c>
      <c r="J32" s="23" t="s">
        <v>21</v>
      </c>
      <c r="K32" s="23" t="s">
        <v>21</v>
      </c>
      <c r="L32" s="23" t="s">
        <v>21</v>
      </c>
      <c r="M32" s="23" t="s">
        <v>21</v>
      </c>
      <c r="N32" s="23" t="s">
        <v>21</v>
      </c>
      <c r="O32" s="23" t="s">
        <v>21</v>
      </c>
      <c r="P32" s="23" t="s">
        <v>21</v>
      </c>
      <c r="Q32" s="22">
        <f>=IF(G32="x", $F32, 0)</f>
      </c>
      <c r="R32" s="22">
        <f>=IF(H32="x", $F32, 0)</f>
      </c>
      <c r="S32" s="22">
        <f>=IF(I32="x", $F32, 0)</f>
      </c>
      <c r="T32" s="22">
        <f>=IF(J32="x", $F32, 0)</f>
      </c>
      <c r="U32" s="22">
        <f>=IF(K32="x", $F32, 0)</f>
      </c>
      <c r="V32" s="22">
        <f>=IF(L32="x", $F32, 0)</f>
      </c>
      <c r="W32" s="22">
        <f>=IF(M32="x", $F32, 0)</f>
      </c>
      <c r="X32" s="22">
        <f>=IF(N32="x", $F32, 0)</f>
      </c>
      <c r="Y32" s="22">
        <f>=IF(O32="x", $F32, 0)</f>
      </c>
      <c r="Z32" s="22">
        <f>=IF(P32="x", $F32, 0)</f>
      </c>
    </row>
    <row r="33" ht="20" customHeight="1" spans="1:26" x14ac:dyDescent="0.25">
      <c r="A33" s="24">
        <v>28</v>
      </c>
      <c r="B33" s="25" t="s">
        <v>21</v>
      </c>
      <c r="C33" s="25" t="s">
        <v>21</v>
      </c>
      <c r="D33" s="26" t="s">
        <v>21</v>
      </c>
      <c r="E33" s="24">
        <f>=COUNTIF(G33:P33, "x")</f>
      </c>
      <c r="F33" s="26">
        <f>=IF(E33&gt;0, D33/E33, 0)</f>
      </c>
      <c r="G33" s="27" t="s">
        <v>21</v>
      </c>
      <c r="H33" s="27" t="s">
        <v>21</v>
      </c>
      <c r="I33" s="27" t="s">
        <v>21</v>
      </c>
      <c r="J33" s="27" t="s">
        <v>21</v>
      </c>
      <c r="K33" s="27" t="s">
        <v>21</v>
      </c>
      <c r="L33" s="27" t="s">
        <v>21</v>
      </c>
      <c r="M33" s="27" t="s">
        <v>21</v>
      </c>
      <c r="N33" s="27" t="s">
        <v>21</v>
      </c>
      <c r="O33" s="27" t="s">
        <v>21</v>
      </c>
      <c r="P33" s="27" t="s">
        <v>21</v>
      </c>
      <c r="Q33" s="26">
        <f>=IF(G33="x", $F33, 0)</f>
      </c>
      <c r="R33" s="26">
        <f>=IF(H33="x", $F33, 0)</f>
      </c>
      <c r="S33" s="26">
        <f>=IF(I33="x", $F33, 0)</f>
      </c>
      <c r="T33" s="26">
        <f>=IF(J33="x", $F33, 0)</f>
      </c>
      <c r="U33" s="26">
        <f>=IF(K33="x", $F33, 0)</f>
      </c>
      <c r="V33" s="26">
        <f>=IF(L33="x", $F33, 0)</f>
      </c>
      <c r="W33" s="26">
        <f>=IF(M33="x", $F33, 0)</f>
      </c>
      <c r="X33" s="26">
        <f>=IF(N33="x", $F33, 0)</f>
      </c>
      <c r="Y33" s="26">
        <f>=IF(O33="x", $F33, 0)</f>
      </c>
      <c r="Z33" s="26">
        <f>=IF(P33="x", $F33, 0)</f>
      </c>
    </row>
    <row r="34" ht="20" customHeight="1" spans="1:26" x14ac:dyDescent="0.25">
      <c r="A34" s="20">
        <v>29</v>
      </c>
      <c r="B34" s="21" t="s">
        <v>21</v>
      </c>
      <c r="C34" s="21" t="s">
        <v>21</v>
      </c>
      <c r="D34" s="22" t="s">
        <v>21</v>
      </c>
      <c r="E34" s="20">
        <f>=COUNTIF(G34:P34, "x")</f>
      </c>
      <c r="F34" s="22">
        <f>=IF(E34&gt;0, D34/E34, 0)</f>
      </c>
      <c r="G34" s="23" t="s">
        <v>21</v>
      </c>
      <c r="H34" s="23" t="s">
        <v>21</v>
      </c>
      <c r="I34" s="23" t="s">
        <v>21</v>
      </c>
      <c r="J34" s="23" t="s">
        <v>21</v>
      </c>
      <c r="K34" s="23" t="s">
        <v>21</v>
      </c>
      <c r="L34" s="23" t="s">
        <v>21</v>
      </c>
      <c r="M34" s="23" t="s">
        <v>21</v>
      </c>
      <c r="N34" s="23" t="s">
        <v>21</v>
      </c>
      <c r="O34" s="23" t="s">
        <v>21</v>
      </c>
      <c r="P34" s="23" t="s">
        <v>21</v>
      </c>
      <c r="Q34" s="22">
        <f>=IF(G34="x", $F34, 0)</f>
      </c>
      <c r="R34" s="22">
        <f>=IF(H34="x", $F34, 0)</f>
      </c>
      <c r="S34" s="22">
        <f>=IF(I34="x", $F34, 0)</f>
      </c>
      <c r="T34" s="22">
        <f>=IF(J34="x", $F34, 0)</f>
      </c>
      <c r="U34" s="22">
        <f>=IF(K34="x", $F34, 0)</f>
      </c>
      <c r="V34" s="22">
        <f>=IF(L34="x", $F34, 0)</f>
      </c>
      <c r="W34" s="22">
        <f>=IF(M34="x", $F34, 0)</f>
      </c>
      <c r="X34" s="22">
        <f>=IF(N34="x", $F34, 0)</f>
      </c>
      <c r="Y34" s="22">
        <f>=IF(O34="x", $F34, 0)</f>
      </c>
      <c r="Z34" s="22">
        <f>=IF(P34="x", $F34, 0)</f>
      </c>
    </row>
    <row r="35" ht="20" customHeight="1" spans="1:26" x14ac:dyDescent="0.25">
      <c r="A35" s="24">
        <v>30</v>
      </c>
      <c r="B35" s="25" t="s">
        <v>21</v>
      </c>
      <c r="C35" s="25" t="s">
        <v>21</v>
      </c>
      <c r="D35" s="26" t="s">
        <v>21</v>
      </c>
      <c r="E35" s="24">
        <f>=COUNTIF(G35:P35, "x")</f>
      </c>
      <c r="F35" s="26">
        <f>=IF(E35&gt;0, D35/E35, 0)</f>
      </c>
      <c r="G35" s="27" t="s">
        <v>21</v>
      </c>
      <c r="H35" s="27" t="s">
        <v>21</v>
      </c>
      <c r="I35" s="27" t="s">
        <v>21</v>
      </c>
      <c r="J35" s="27" t="s">
        <v>21</v>
      </c>
      <c r="K35" s="27" t="s">
        <v>21</v>
      </c>
      <c r="L35" s="27" t="s">
        <v>21</v>
      </c>
      <c r="M35" s="27" t="s">
        <v>21</v>
      </c>
      <c r="N35" s="27" t="s">
        <v>21</v>
      </c>
      <c r="O35" s="27" t="s">
        <v>21</v>
      </c>
      <c r="P35" s="27" t="s">
        <v>21</v>
      </c>
      <c r="Q35" s="26">
        <f>=IF(G35="x", $F35, 0)</f>
      </c>
      <c r="R35" s="26">
        <f>=IF(H35="x", $F35, 0)</f>
      </c>
      <c r="S35" s="26">
        <f>=IF(I35="x", $F35, 0)</f>
      </c>
      <c r="T35" s="26">
        <f>=IF(J35="x", $F35, 0)</f>
      </c>
      <c r="U35" s="26">
        <f>=IF(K35="x", $F35, 0)</f>
      </c>
      <c r="V35" s="26">
        <f>=IF(L35="x", $F35, 0)</f>
      </c>
      <c r="W35" s="26">
        <f>=IF(M35="x", $F35, 0)</f>
      </c>
      <c r="X35" s="26">
        <f>=IF(N35="x", $F35, 0)</f>
      </c>
      <c r="Y35" s="26">
        <f>=IF(O35="x", $F35, 0)</f>
      </c>
      <c r="Z35" s="26">
        <f>=IF(P35="x", $F35, 0)</f>
      </c>
    </row>
    <row r="36" ht="20" customHeight="1" spans="1:26" x14ac:dyDescent="0.25">
      <c r="A36" s="20">
        <v>31</v>
      </c>
      <c r="B36" s="21" t="s">
        <v>21</v>
      </c>
      <c r="C36" s="21" t="s">
        <v>21</v>
      </c>
      <c r="D36" s="22" t="s">
        <v>21</v>
      </c>
      <c r="E36" s="20">
        <f>=COUNTIF(G36:P36, "x")</f>
      </c>
      <c r="F36" s="22">
        <f>=IF(E36&gt;0, D36/E36, 0)</f>
      </c>
      <c r="G36" s="23" t="s">
        <v>21</v>
      </c>
      <c r="H36" s="23" t="s">
        <v>21</v>
      </c>
      <c r="I36" s="23" t="s">
        <v>21</v>
      </c>
      <c r="J36" s="23" t="s">
        <v>21</v>
      </c>
      <c r="K36" s="23" t="s">
        <v>21</v>
      </c>
      <c r="L36" s="23" t="s">
        <v>21</v>
      </c>
      <c r="M36" s="23" t="s">
        <v>21</v>
      </c>
      <c r="N36" s="23" t="s">
        <v>21</v>
      </c>
      <c r="O36" s="23" t="s">
        <v>21</v>
      </c>
      <c r="P36" s="23" t="s">
        <v>21</v>
      </c>
      <c r="Q36" s="22">
        <f>=IF(G36="x", $F36, 0)</f>
      </c>
      <c r="R36" s="22">
        <f>=IF(H36="x", $F36, 0)</f>
      </c>
      <c r="S36" s="22">
        <f>=IF(I36="x", $F36, 0)</f>
      </c>
      <c r="T36" s="22">
        <f>=IF(J36="x", $F36, 0)</f>
      </c>
      <c r="U36" s="22">
        <f>=IF(K36="x", $F36, 0)</f>
      </c>
      <c r="V36" s="22">
        <f>=IF(L36="x", $F36, 0)</f>
      </c>
      <c r="W36" s="22">
        <f>=IF(M36="x", $F36, 0)</f>
      </c>
      <c r="X36" s="22">
        <f>=IF(N36="x", $F36, 0)</f>
      </c>
      <c r="Y36" s="22">
        <f>=IF(O36="x", $F36, 0)</f>
      </c>
      <c r="Z36" s="22">
        <f>=IF(P36="x", $F36, 0)</f>
      </c>
    </row>
    <row r="37" ht="20" customHeight="1" spans="1:26" x14ac:dyDescent="0.25">
      <c r="A37" s="24">
        <v>32</v>
      </c>
      <c r="B37" s="25" t="s">
        <v>21</v>
      </c>
      <c r="C37" s="25" t="s">
        <v>21</v>
      </c>
      <c r="D37" s="26" t="s">
        <v>21</v>
      </c>
      <c r="E37" s="24">
        <f>=COUNTIF(G37:P37, "x")</f>
      </c>
      <c r="F37" s="26">
        <f>=IF(E37&gt;0, D37/E37, 0)</f>
      </c>
      <c r="G37" s="27" t="s">
        <v>21</v>
      </c>
      <c r="H37" s="27" t="s">
        <v>21</v>
      </c>
      <c r="I37" s="27" t="s">
        <v>21</v>
      </c>
      <c r="J37" s="27" t="s">
        <v>21</v>
      </c>
      <c r="K37" s="27" t="s">
        <v>21</v>
      </c>
      <c r="L37" s="27" t="s">
        <v>21</v>
      </c>
      <c r="M37" s="27" t="s">
        <v>21</v>
      </c>
      <c r="N37" s="27" t="s">
        <v>21</v>
      </c>
      <c r="O37" s="27" t="s">
        <v>21</v>
      </c>
      <c r="P37" s="27" t="s">
        <v>21</v>
      </c>
      <c r="Q37" s="26">
        <f>=IF(G37="x", $F37, 0)</f>
      </c>
      <c r="R37" s="26">
        <f>=IF(H37="x", $F37, 0)</f>
      </c>
      <c r="S37" s="26">
        <f>=IF(I37="x", $F37, 0)</f>
      </c>
      <c r="T37" s="26">
        <f>=IF(J37="x", $F37, 0)</f>
      </c>
      <c r="U37" s="26">
        <f>=IF(K37="x", $F37, 0)</f>
      </c>
      <c r="V37" s="26">
        <f>=IF(L37="x", $F37, 0)</f>
      </c>
      <c r="W37" s="26">
        <f>=IF(M37="x", $F37, 0)</f>
      </c>
      <c r="X37" s="26">
        <f>=IF(N37="x", $F37, 0)</f>
      </c>
      <c r="Y37" s="26">
        <f>=IF(O37="x", $F37, 0)</f>
      </c>
      <c r="Z37" s="26">
        <f>=IF(P37="x", $F37, 0)</f>
      </c>
    </row>
    <row r="38" ht="20" customHeight="1" spans="1:26" x14ac:dyDescent="0.25">
      <c r="A38" s="20">
        <v>33</v>
      </c>
      <c r="B38" s="21" t="s">
        <v>21</v>
      </c>
      <c r="C38" s="21" t="s">
        <v>21</v>
      </c>
      <c r="D38" s="22" t="s">
        <v>21</v>
      </c>
      <c r="E38" s="20">
        <f>=COUNTIF(G38:P38, "x")</f>
      </c>
      <c r="F38" s="22">
        <f>=IF(E38&gt;0, D38/E38, 0)</f>
      </c>
      <c r="G38" s="23" t="s">
        <v>21</v>
      </c>
      <c r="H38" s="23" t="s">
        <v>21</v>
      </c>
      <c r="I38" s="23" t="s">
        <v>21</v>
      </c>
      <c r="J38" s="23" t="s">
        <v>21</v>
      </c>
      <c r="K38" s="23" t="s">
        <v>21</v>
      </c>
      <c r="L38" s="23" t="s">
        <v>21</v>
      </c>
      <c r="M38" s="23" t="s">
        <v>21</v>
      </c>
      <c r="N38" s="23" t="s">
        <v>21</v>
      </c>
      <c r="O38" s="23" t="s">
        <v>21</v>
      </c>
      <c r="P38" s="23" t="s">
        <v>21</v>
      </c>
      <c r="Q38" s="22">
        <f>=IF(G38="x", $F38, 0)</f>
      </c>
      <c r="R38" s="22">
        <f>=IF(H38="x", $F38, 0)</f>
      </c>
      <c r="S38" s="22">
        <f>=IF(I38="x", $F38, 0)</f>
      </c>
      <c r="T38" s="22">
        <f>=IF(J38="x", $F38, 0)</f>
      </c>
      <c r="U38" s="22">
        <f>=IF(K38="x", $F38, 0)</f>
      </c>
      <c r="V38" s="22">
        <f>=IF(L38="x", $F38, 0)</f>
      </c>
      <c r="W38" s="22">
        <f>=IF(M38="x", $F38, 0)</f>
      </c>
      <c r="X38" s="22">
        <f>=IF(N38="x", $F38, 0)</f>
      </c>
      <c r="Y38" s="22">
        <f>=IF(O38="x", $F38, 0)</f>
      </c>
      <c r="Z38" s="22">
        <f>=IF(P38="x", $F38, 0)</f>
      </c>
    </row>
    <row r="39" ht="20" customHeight="1" spans="1:26" x14ac:dyDescent="0.25">
      <c r="A39" s="24">
        <v>34</v>
      </c>
      <c r="B39" s="25" t="s">
        <v>21</v>
      </c>
      <c r="C39" s="25" t="s">
        <v>21</v>
      </c>
      <c r="D39" s="26" t="s">
        <v>21</v>
      </c>
      <c r="E39" s="24">
        <f>=COUNTIF(G39:P39, "x")</f>
      </c>
      <c r="F39" s="26">
        <f>=IF(E39&gt;0, D39/E39, 0)</f>
      </c>
      <c r="G39" s="27" t="s">
        <v>21</v>
      </c>
      <c r="H39" s="27" t="s">
        <v>21</v>
      </c>
      <c r="I39" s="27" t="s">
        <v>21</v>
      </c>
      <c r="J39" s="27" t="s">
        <v>21</v>
      </c>
      <c r="K39" s="27" t="s">
        <v>21</v>
      </c>
      <c r="L39" s="27" t="s">
        <v>21</v>
      </c>
      <c r="M39" s="27" t="s">
        <v>21</v>
      </c>
      <c r="N39" s="27" t="s">
        <v>21</v>
      </c>
      <c r="O39" s="27" t="s">
        <v>21</v>
      </c>
      <c r="P39" s="27" t="s">
        <v>21</v>
      </c>
      <c r="Q39" s="26">
        <f>=IF(G39="x", $F39, 0)</f>
      </c>
      <c r="R39" s="26">
        <f>=IF(H39="x", $F39, 0)</f>
      </c>
      <c r="S39" s="26">
        <f>=IF(I39="x", $F39, 0)</f>
      </c>
      <c r="T39" s="26">
        <f>=IF(J39="x", $F39, 0)</f>
      </c>
      <c r="U39" s="26">
        <f>=IF(K39="x", $F39, 0)</f>
      </c>
      <c r="V39" s="26">
        <f>=IF(L39="x", $F39, 0)</f>
      </c>
      <c r="W39" s="26">
        <f>=IF(M39="x", $F39, 0)</f>
      </c>
      <c r="X39" s="26">
        <f>=IF(N39="x", $F39, 0)</f>
      </c>
      <c r="Y39" s="26">
        <f>=IF(O39="x", $F39, 0)</f>
      </c>
      <c r="Z39" s="26">
        <f>=IF(P39="x", $F39, 0)</f>
      </c>
    </row>
    <row r="40" ht="20" customHeight="1" spans="1:26" x14ac:dyDescent="0.25">
      <c r="A40" s="20">
        <v>35</v>
      </c>
      <c r="B40" s="21" t="s">
        <v>21</v>
      </c>
      <c r="C40" s="21" t="s">
        <v>21</v>
      </c>
      <c r="D40" s="22" t="s">
        <v>21</v>
      </c>
      <c r="E40" s="20">
        <f>=COUNTIF(G40:P40, "x")</f>
      </c>
      <c r="F40" s="22">
        <f>=IF(E40&gt;0, D40/E40, 0)</f>
      </c>
      <c r="G40" s="23" t="s">
        <v>21</v>
      </c>
      <c r="H40" s="23" t="s">
        <v>21</v>
      </c>
      <c r="I40" s="23" t="s">
        <v>21</v>
      </c>
      <c r="J40" s="23" t="s">
        <v>21</v>
      </c>
      <c r="K40" s="23" t="s">
        <v>21</v>
      </c>
      <c r="L40" s="23" t="s">
        <v>21</v>
      </c>
      <c r="M40" s="23" t="s">
        <v>21</v>
      </c>
      <c r="N40" s="23" t="s">
        <v>21</v>
      </c>
      <c r="O40" s="23" t="s">
        <v>21</v>
      </c>
      <c r="P40" s="23" t="s">
        <v>21</v>
      </c>
      <c r="Q40" s="22">
        <f>=IF(G40="x", $F40, 0)</f>
      </c>
      <c r="R40" s="22">
        <f>=IF(H40="x", $F40, 0)</f>
      </c>
      <c r="S40" s="22">
        <f>=IF(I40="x", $F40, 0)</f>
      </c>
      <c r="T40" s="22">
        <f>=IF(J40="x", $F40, 0)</f>
      </c>
      <c r="U40" s="22">
        <f>=IF(K40="x", $F40, 0)</f>
      </c>
      <c r="V40" s="22">
        <f>=IF(L40="x", $F40, 0)</f>
      </c>
      <c r="W40" s="22">
        <f>=IF(M40="x", $F40, 0)</f>
      </c>
      <c r="X40" s="22">
        <f>=IF(N40="x", $F40, 0)</f>
      </c>
      <c r="Y40" s="22">
        <f>=IF(O40="x", $F40, 0)</f>
      </c>
      <c r="Z40" s="22">
        <f>=IF(P40="x", $F40, 0)</f>
      </c>
    </row>
    <row r="41" ht="20" customHeight="1" spans="1:26" x14ac:dyDescent="0.25">
      <c r="A41" s="24">
        <v>36</v>
      </c>
      <c r="B41" s="25" t="s">
        <v>21</v>
      </c>
      <c r="C41" s="25" t="s">
        <v>21</v>
      </c>
      <c r="D41" s="26" t="s">
        <v>21</v>
      </c>
      <c r="E41" s="24">
        <f>=COUNTIF(G41:P41, "x")</f>
      </c>
      <c r="F41" s="26">
        <f>=IF(E41&gt;0, D41/E41, 0)</f>
      </c>
      <c r="G41" s="27" t="s">
        <v>21</v>
      </c>
      <c r="H41" s="27" t="s">
        <v>21</v>
      </c>
      <c r="I41" s="27" t="s">
        <v>21</v>
      </c>
      <c r="J41" s="27" t="s">
        <v>21</v>
      </c>
      <c r="K41" s="27" t="s">
        <v>21</v>
      </c>
      <c r="L41" s="27" t="s">
        <v>21</v>
      </c>
      <c r="M41" s="27" t="s">
        <v>21</v>
      </c>
      <c r="N41" s="27" t="s">
        <v>21</v>
      </c>
      <c r="O41" s="27" t="s">
        <v>21</v>
      </c>
      <c r="P41" s="27" t="s">
        <v>21</v>
      </c>
      <c r="Q41" s="26">
        <f>=IF(G41="x", $F41, 0)</f>
      </c>
      <c r="R41" s="26">
        <f>=IF(H41="x", $F41, 0)</f>
      </c>
      <c r="S41" s="26">
        <f>=IF(I41="x", $F41, 0)</f>
      </c>
      <c r="T41" s="26">
        <f>=IF(J41="x", $F41, 0)</f>
      </c>
      <c r="U41" s="26">
        <f>=IF(K41="x", $F41, 0)</f>
      </c>
      <c r="V41" s="26">
        <f>=IF(L41="x", $F41, 0)</f>
      </c>
      <c r="W41" s="26">
        <f>=IF(M41="x", $F41, 0)</f>
      </c>
      <c r="X41" s="26">
        <f>=IF(N41="x", $F41, 0)</f>
      </c>
      <c r="Y41" s="26">
        <f>=IF(O41="x", $F41, 0)</f>
      </c>
      <c r="Z41" s="26">
        <f>=IF(P41="x", $F41, 0)</f>
      </c>
    </row>
    <row r="42" ht="20" customHeight="1" spans="1:26" x14ac:dyDescent="0.25">
      <c r="A42" s="20">
        <v>37</v>
      </c>
      <c r="B42" s="21" t="s">
        <v>21</v>
      </c>
      <c r="C42" s="21" t="s">
        <v>21</v>
      </c>
      <c r="D42" s="22" t="s">
        <v>21</v>
      </c>
      <c r="E42" s="20">
        <f>=COUNTIF(G42:P42, "x")</f>
      </c>
      <c r="F42" s="22">
        <f>=IF(E42&gt;0, D42/E42, 0)</f>
      </c>
      <c r="G42" s="23" t="s">
        <v>21</v>
      </c>
      <c r="H42" s="23" t="s">
        <v>21</v>
      </c>
      <c r="I42" s="23" t="s">
        <v>21</v>
      </c>
      <c r="J42" s="23" t="s">
        <v>21</v>
      </c>
      <c r="K42" s="23" t="s">
        <v>21</v>
      </c>
      <c r="L42" s="23" t="s">
        <v>21</v>
      </c>
      <c r="M42" s="23" t="s">
        <v>21</v>
      </c>
      <c r="N42" s="23" t="s">
        <v>21</v>
      </c>
      <c r="O42" s="23" t="s">
        <v>21</v>
      </c>
      <c r="P42" s="23" t="s">
        <v>21</v>
      </c>
      <c r="Q42" s="22">
        <f>=IF(G42="x", $F42, 0)</f>
      </c>
      <c r="R42" s="22">
        <f>=IF(H42="x", $F42, 0)</f>
      </c>
      <c r="S42" s="22">
        <f>=IF(I42="x", $F42, 0)</f>
      </c>
      <c r="T42" s="22">
        <f>=IF(J42="x", $F42, 0)</f>
      </c>
      <c r="U42" s="22">
        <f>=IF(K42="x", $F42, 0)</f>
      </c>
      <c r="V42" s="22">
        <f>=IF(L42="x", $F42, 0)</f>
      </c>
      <c r="W42" s="22">
        <f>=IF(M42="x", $F42, 0)</f>
      </c>
      <c r="X42" s="22">
        <f>=IF(N42="x", $F42, 0)</f>
      </c>
      <c r="Y42" s="22">
        <f>=IF(O42="x", $F42, 0)</f>
      </c>
      <c r="Z42" s="22">
        <f>=IF(P42="x", $F42, 0)</f>
      </c>
    </row>
    <row r="43" ht="20" customHeight="1" spans="1:26" x14ac:dyDescent="0.25">
      <c r="A43" s="24">
        <v>38</v>
      </c>
      <c r="B43" s="25" t="s">
        <v>21</v>
      </c>
      <c r="C43" s="25" t="s">
        <v>21</v>
      </c>
      <c r="D43" s="26" t="s">
        <v>21</v>
      </c>
      <c r="E43" s="24">
        <f>=COUNTIF(G43:P43, "x")</f>
      </c>
      <c r="F43" s="26">
        <f>=IF(E43&gt;0, D43/E43, 0)</f>
      </c>
      <c r="G43" s="27" t="s">
        <v>21</v>
      </c>
      <c r="H43" s="27" t="s">
        <v>21</v>
      </c>
      <c r="I43" s="27" t="s">
        <v>21</v>
      </c>
      <c r="J43" s="27" t="s">
        <v>21</v>
      </c>
      <c r="K43" s="27" t="s">
        <v>21</v>
      </c>
      <c r="L43" s="27" t="s">
        <v>21</v>
      </c>
      <c r="M43" s="27" t="s">
        <v>21</v>
      </c>
      <c r="N43" s="27" t="s">
        <v>21</v>
      </c>
      <c r="O43" s="27" t="s">
        <v>21</v>
      </c>
      <c r="P43" s="27" t="s">
        <v>21</v>
      </c>
      <c r="Q43" s="26">
        <f>=IF(G43="x", $F43, 0)</f>
      </c>
      <c r="R43" s="26">
        <f>=IF(H43="x", $F43, 0)</f>
      </c>
      <c r="S43" s="26">
        <f>=IF(I43="x", $F43, 0)</f>
      </c>
      <c r="T43" s="26">
        <f>=IF(J43="x", $F43, 0)</f>
      </c>
      <c r="U43" s="26">
        <f>=IF(K43="x", $F43, 0)</f>
      </c>
      <c r="V43" s="26">
        <f>=IF(L43="x", $F43, 0)</f>
      </c>
      <c r="W43" s="26">
        <f>=IF(M43="x", $F43, 0)</f>
      </c>
      <c r="X43" s="26">
        <f>=IF(N43="x", $F43, 0)</f>
      </c>
      <c r="Y43" s="26">
        <f>=IF(O43="x", $F43, 0)</f>
      </c>
      <c r="Z43" s="26">
        <f>=IF(P43="x", $F43, 0)</f>
      </c>
    </row>
    <row r="44" ht="20" customHeight="1" spans="1:26" x14ac:dyDescent="0.25">
      <c r="A44" s="20">
        <v>39</v>
      </c>
      <c r="B44" s="21" t="s">
        <v>21</v>
      </c>
      <c r="C44" s="21" t="s">
        <v>21</v>
      </c>
      <c r="D44" s="22" t="s">
        <v>21</v>
      </c>
      <c r="E44" s="20">
        <f>=COUNTIF(G44:P44, "x")</f>
      </c>
      <c r="F44" s="22">
        <f>=IF(E44&gt;0, D44/E44, 0)</f>
      </c>
      <c r="G44" s="23" t="s">
        <v>21</v>
      </c>
      <c r="H44" s="23" t="s">
        <v>21</v>
      </c>
      <c r="I44" s="23" t="s">
        <v>21</v>
      </c>
      <c r="J44" s="23" t="s">
        <v>21</v>
      </c>
      <c r="K44" s="23" t="s">
        <v>21</v>
      </c>
      <c r="L44" s="23" t="s">
        <v>21</v>
      </c>
      <c r="M44" s="23" t="s">
        <v>21</v>
      </c>
      <c r="N44" s="23" t="s">
        <v>21</v>
      </c>
      <c r="O44" s="23" t="s">
        <v>21</v>
      </c>
      <c r="P44" s="23" t="s">
        <v>21</v>
      </c>
      <c r="Q44" s="22">
        <f>=IF(G44="x", $F44, 0)</f>
      </c>
      <c r="R44" s="22">
        <f>=IF(H44="x", $F44, 0)</f>
      </c>
      <c r="S44" s="22">
        <f>=IF(I44="x", $F44, 0)</f>
      </c>
      <c r="T44" s="22">
        <f>=IF(J44="x", $F44, 0)</f>
      </c>
      <c r="U44" s="22">
        <f>=IF(K44="x", $F44, 0)</f>
      </c>
      <c r="V44" s="22">
        <f>=IF(L44="x", $F44, 0)</f>
      </c>
      <c r="W44" s="22">
        <f>=IF(M44="x", $F44, 0)</f>
      </c>
      <c r="X44" s="22">
        <f>=IF(N44="x", $F44, 0)</f>
      </c>
      <c r="Y44" s="22">
        <f>=IF(O44="x", $F44, 0)</f>
      </c>
      <c r="Z44" s="22">
        <f>=IF(P44="x", $F44, 0)</f>
      </c>
    </row>
    <row r="45" ht="20" customHeight="1" spans="1:26" x14ac:dyDescent="0.25">
      <c r="A45" s="24">
        <v>40</v>
      </c>
      <c r="B45" s="25" t="s">
        <v>21</v>
      </c>
      <c r="C45" s="25" t="s">
        <v>21</v>
      </c>
      <c r="D45" s="26" t="s">
        <v>21</v>
      </c>
      <c r="E45" s="24">
        <f>=COUNTIF(G45:P45, "x")</f>
      </c>
      <c r="F45" s="26">
        <f>=IF(E45&gt;0, D45/E45, 0)</f>
      </c>
      <c r="G45" s="27" t="s">
        <v>21</v>
      </c>
      <c r="H45" s="27" t="s">
        <v>21</v>
      </c>
      <c r="I45" s="27" t="s">
        <v>21</v>
      </c>
      <c r="J45" s="27" t="s">
        <v>21</v>
      </c>
      <c r="K45" s="27" t="s">
        <v>21</v>
      </c>
      <c r="L45" s="27" t="s">
        <v>21</v>
      </c>
      <c r="M45" s="27" t="s">
        <v>21</v>
      </c>
      <c r="N45" s="27" t="s">
        <v>21</v>
      </c>
      <c r="O45" s="27" t="s">
        <v>21</v>
      </c>
      <c r="P45" s="27" t="s">
        <v>21</v>
      </c>
      <c r="Q45" s="26">
        <f>=IF(G45="x", $F45, 0)</f>
      </c>
      <c r="R45" s="26">
        <f>=IF(H45="x", $F45, 0)</f>
      </c>
      <c r="S45" s="26">
        <f>=IF(I45="x", $F45, 0)</f>
      </c>
      <c r="T45" s="26">
        <f>=IF(J45="x", $F45, 0)</f>
      </c>
      <c r="U45" s="26">
        <f>=IF(K45="x", $F45, 0)</f>
      </c>
      <c r="V45" s="26">
        <f>=IF(L45="x", $F45, 0)</f>
      </c>
      <c r="W45" s="26">
        <f>=IF(M45="x", $F45, 0)</f>
      </c>
      <c r="X45" s="26">
        <f>=IF(N45="x", $F45, 0)</f>
      </c>
      <c r="Y45" s="26">
        <f>=IF(O45="x", $F45, 0)</f>
      </c>
      <c r="Z45" s="26">
        <f>=IF(P45="x", $F45, 0)</f>
      </c>
    </row>
    <row r="46" ht="20" customHeight="1" spans="1:26" x14ac:dyDescent="0.25">
      <c r="A46" s="20">
        <v>41</v>
      </c>
      <c r="B46" s="21" t="s">
        <v>21</v>
      </c>
      <c r="C46" s="21" t="s">
        <v>21</v>
      </c>
      <c r="D46" s="22" t="s">
        <v>21</v>
      </c>
      <c r="E46" s="20">
        <f>=COUNTIF(G46:P46, "x")</f>
      </c>
      <c r="F46" s="22">
        <f>=IF(E46&gt;0, D46/E46, 0)</f>
      </c>
      <c r="G46" s="23" t="s">
        <v>21</v>
      </c>
      <c r="H46" s="23" t="s">
        <v>21</v>
      </c>
      <c r="I46" s="23" t="s">
        <v>21</v>
      </c>
      <c r="J46" s="23" t="s">
        <v>21</v>
      </c>
      <c r="K46" s="23" t="s">
        <v>21</v>
      </c>
      <c r="L46" s="23" t="s">
        <v>21</v>
      </c>
      <c r="M46" s="23" t="s">
        <v>21</v>
      </c>
      <c r="N46" s="23" t="s">
        <v>21</v>
      </c>
      <c r="O46" s="23" t="s">
        <v>21</v>
      </c>
      <c r="P46" s="23" t="s">
        <v>21</v>
      </c>
      <c r="Q46" s="22">
        <f>=IF(G46="x", $F46, 0)</f>
      </c>
      <c r="R46" s="22">
        <f>=IF(H46="x", $F46, 0)</f>
      </c>
      <c r="S46" s="22">
        <f>=IF(I46="x", $F46, 0)</f>
      </c>
      <c r="T46" s="22">
        <f>=IF(J46="x", $F46, 0)</f>
      </c>
      <c r="U46" s="22">
        <f>=IF(K46="x", $F46, 0)</f>
      </c>
      <c r="V46" s="22">
        <f>=IF(L46="x", $F46, 0)</f>
      </c>
      <c r="W46" s="22">
        <f>=IF(M46="x", $F46, 0)</f>
      </c>
      <c r="X46" s="22">
        <f>=IF(N46="x", $F46, 0)</f>
      </c>
      <c r="Y46" s="22">
        <f>=IF(O46="x", $F46, 0)</f>
      </c>
      <c r="Z46" s="22">
        <f>=IF(P46="x", $F46, 0)</f>
      </c>
    </row>
    <row r="47" ht="20" customHeight="1" spans="1:26" x14ac:dyDescent="0.25">
      <c r="A47" s="24">
        <v>42</v>
      </c>
      <c r="B47" s="25" t="s">
        <v>21</v>
      </c>
      <c r="C47" s="25" t="s">
        <v>21</v>
      </c>
      <c r="D47" s="26" t="s">
        <v>21</v>
      </c>
      <c r="E47" s="24">
        <f>=COUNTIF(G47:P47, "x")</f>
      </c>
      <c r="F47" s="26">
        <f>=IF(E47&gt;0, D47/E47, 0)</f>
      </c>
      <c r="G47" s="27" t="s">
        <v>21</v>
      </c>
      <c r="H47" s="27" t="s">
        <v>21</v>
      </c>
      <c r="I47" s="27" t="s">
        <v>21</v>
      </c>
      <c r="J47" s="27" t="s">
        <v>21</v>
      </c>
      <c r="K47" s="27" t="s">
        <v>21</v>
      </c>
      <c r="L47" s="27" t="s">
        <v>21</v>
      </c>
      <c r="M47" s="27" t="s">
        <v>21</v>
      </c>
      <c r="N47" s="27" t="s">
        <v>21</v>
      </c>
      <c r="O47" s="27" t="s">
        <v>21</v>
      </c>
      <c r="P47" s="27" t="s">
        <v>21</v>
      </c>
      <c r="Q47" s="26">
        <f>=IF(G47="x", $F47, 0)</f>
      </c>
      <c r="R47" s="26">
        <f>=IF(H47="x", $F47, 0)</f>
      </c>
      <c r="S47" s="26">
        <f>=IF(I47="x", $F47, 0)</f>
      </c>
      <c r="T47" s="26">
        <f>=IF(J47="x", $F47, 0)</f>
      </c>
      <c r="U47" s="26">
        <f>=IF(K47="x", $F47, 0)</f>
      </c>
      <c r="V47" s="26">
        <f>=IF(L47="x", $F47, 0)</f>
      </c>
      <c r="W47" s="26">
        <f>=IF(M47="x", $F47, 0)</f>
      </c>
      <c r="X47" s="26">
        <f>=IF(N47="x", $F47, 0)</f>
      </c>
      <c r="Y47" s="26">
        <f>=IF(O47="x", $F47, 0)</f>
      </c>
      <c r="Z47" s="26">
        <f>=IF(P47="x", $F47, 0)</f>
      </c>
    </row>
    <row r="48" ht="20" customHeight="1" spans="1:26" x14ac:dyDescent="0.25">
      <c r="A48" s="20">
        <v>43</v>
      </c>
      <c r="B48" s="21" t="s">
        <v>21</v>
      </c>
      <c r="C48" s="21" t="s">
        <v>21</v>
      </c>
      <c r="D48" s="22" t="s">
        <v>21</v>
      </c>
      <c r="E48" s="20">
        <f>=COUNTIF(G48:P48, "x")</f>
      </c>
      <c r="F48" s="22">
        <f>=IF(E48&gt;0, D48/E48, 0)</f>
      </c>
      <c r="G48" s="23" t="s">
        <v>21</v>
      </c>
      <c r="H48" s="23" t="s">
        <v>21</v>
      </c>
      <c r="I48" s="23" t="s">
        <v>21</v>
      </c>
      <c r="J48" s="23" t="s">
        <v>21</v>
      </c>
      <c r="K48" s="23" t="s">
        <v>21</v>
      </c>
      <c r="L48" s="23" t="s">
        <v>21</v>
      </c>
      <c r="M48" s="23" t="s">
        <v>21</v>
      </c>
      <c r="N48" s="23" t="s">
        <v>21</v>
      </c>
      <c r="O48" s="23" t="s">
        <v>21</v>
      </c>
      <c r="P48" s="23" t="s">
        <v>21</v>
      </c>
      <c r="Q48" s="22">
        <f>=IF(G48="x", $F48, 0)</f>
      </c>
      <c r="R48" s="22">
        <f>=IF(H48="x", $F48, 0)</f>
      </c>
      <c r="S48" s="22">
        <f>=IF(I48="x", $F48, 0)</f>
      </c>
      <c r="T48" s="22">
        <f>=IF(J48="x", $F48, 0)</f>
      </c>
      <c r="U48" s="22">
        <f>=IF(K48="x", $F48, 0)</f>
      </c>
      <c r="V48" s="22">
        <f>=IF(L48="x", $F48, 0)</f>
      </c>
      <c r="W48" s="22">
        <f>=IF(M48="x", $F48, 0)</f>
      </c>
      <c r="X48" s="22">
        <f>=IF(N48="x", $F48, 0)</f>
      </c>
      <c r="Y48" s="22">
        <f>=IF(O48="x", $F48, 0)</f>
      </c>
      <c r="Z48" s="22">
        <f>=IF(P48="x", $F48, 0)</f>
      </c>
    </row>
    <row r="49" ht="20" customHeight="1" spans="1:26" x14ac:dyDescent="0.25">
      <c r="A49" s="24">
        <v>44</v>
      </c>
      <c r="B49" s="25" t="s">
        <v>21</v>
      </c>
      <c r="C49" s="25" t="s">
        <v>21</v>
      </c>
      <c r="D49" s="26" t="s">
        <v>21</v>
      </c>
      <c r="E49" s="24">
        <f>=COUNTIF(G49:P49, "x")</f>
      </c>
      <c r="F49" s="26">
        <f>=IF(E49&gt;0, D49/E49, 0)</f>
      </c>
      <c r="G49" s="27" t="s">
        <v>21</v>
      </c>
      <c r="H49" s="27" t="s">
        <v>21</v>
      </c>
      <c r="I49" s="27" t="s">
        <v>21</v>
      </c>
      <c r="J49" s="27" t="s">
        <v>21</v>
      </c>
      <c r="K49" s="27" t="s">
        <v>21</v>
      </c>
      <c r="L49" s="27" t="s">
        <v>21</v>
      </c>
      <c r="M49" s="27" t="s">
        <v>21</v>
      </c>
      <c r="N49" s="27" t="s">
        <v>21</v>
      </c>
      <c r="O49" s="27" t="s">
        <v>21</v>
      </c>
      <c r="P49" s="27" t="s">
        <v>21</v>
      </c>
      <c r="Q49" s="26">
        <f>=IF(G49="x", $F49, 0)</f>
      </c>
      <c r="R49" s="26">
        <f>=IF(H49="x", $F49, 0)</f>
      </c>
      <c r="S49" s="26">
        <f>=IF(I49="x", $F49, 0)</f>
      </c>
      <c r="T49" s="26">
        <f>=IF(J49="x", $F49, 0)</f>
      </c>
      <c r="U49" s="26">
        <f>=IF(K49="x", $F49, 0)</f>
      </c>
      <c r="V49" s="26">
        <f>=IF(L49="x", $F49, 0)</f>
      </c>
      <c r="W49" s="26">
        <f>=IF(M49="x", $F49, 0)</f>
      </c>
      <c r="X49" s="26">
        <f>=IF(N49="x", $F49, 0)</f>
      </c>
      <c r="Y49" s="26">
        <f>=IF(O49="x", $F49, 0)</f>
      </c>
      <c r="Z49" s="26">
        <f>=IF(P49="x", $F49, 0)</f>
      </c>
    </row>
    <row r="50" ht="20" customHeight="1" spans="1:26" x14ac:dyDescent="0.25">
      <c r="A50" s="20">
        <v>45</v>
      </c>
      <c r="B50" s="21" t="s">
        <v>21</v>
      </c>
      <c r="C50" s="21" t="s">
        <v>21</v>
      </c>
      <c r="D50" s="22" t="s">
        <v>21</v>
      </c>
      <c r="E50" s="20">
        <f>=COUNTIF(G50:P50, "x")</f>
      </c>
      <c r="F50" s="22">
        <f>=IF(E50&gt;0, D50/E50, 0)</f>
      </c>
      <c r="G50" s="23" t="s">
        <v>21</v>
      </c>
      <c r="H50" s="23" t="s">
        <v>21</v>
      </c>
      <c r="I50" s="23" t="s">
        <v>21</v>
      </c>
      <c r="J50" s="23" t="s">
        <v>21</v>
      </c>
      <c r="K50" s="23" t="s">
        <v>21</v>
      </c>
      <c r="L50" s="23" t="s">
        <v>21</v>
      </c>
      <c r="M50" s="23" t="s">
        <v>21</v>
      </c>
      <c r="N50" s="23" t="s">
        <v>21</v>
      </c>
      <c r="O50" s="23" t="s">
        <v>21</v>
      </c>
      <c r="P50" s="23" t="s">
        <v>21</v>
      </c>
      <c r="Q50" s="22">
        <f>=IF(G50="x", $F50, 0)</f>
      </c>
      <c r="R50" s="22">
        <f>=IF(H50="x", $F50, 0)</f>
      </c>
      <c r="S50" s="22">
        <f>=IF(I50="x", $F50, 0)</f>
      </c>
      <c r="T50" s="22">
        <f>=IF(J50="x", $F50, 0)</f>
      </c>
      <c r="U50" s="22">
        <f>=IF(K50="x", $F50, 0)</f>
      </c>
      <c r="V50" s="22">
        <f>=IF(L50="x", $F50, 0)</f>
      </c>
      <c r="W50" s="22">
        <f>=IF(M50="x", $F50, 0)</f>
      </c>
      <c r="X50" s="22">
        <f>=IF(N50="x", $F50, 0)</f>
      </c>
      <c r="Y50" s="22">
        <f>=IF(O50="x", $F50, 0)</f>
      </c>
      <c r="Z50" s="22">
        <f>=IF(P50="x", $F50, 0)</f>
      </c>
    </row>
    <row r="51" ht="20" customHeight="1" spans="1:26" x14ac:dyDescent="0.25">
      <c r="A51" s="24">
        <v>46</v>
      </c>
      <c r="B51" s="25" t="s">
        <v>21</v>
      </c>
      <c r="C51" s="25" t="s">
        <v>21</v>
      </c>
      <c r="D51" s="26" t="s">
        <v>21</v>
      </c>
      <c r="E51" s="24">
        <f>=COUNTIF(G51:P51, "x")</f>
      </c>
      <c r="F51" s="26">
        <f>=IF(E51&gt;0, D51/E51, 0)</f>
      </c>
      <c r="G51" s="27" t="s">
        <v>21</v>
      </c>
      <c r="H51" s="27" t="s">
        <v>21</v>
      </c>
      <c r="I51" s="27" t="s">
        <v>21</v>
      </c>
      <c r="J51" s="27" t="s">
        <v>21</v>
      </c>
      <c r="K51" s="27" t="s">
        <v>21</v>
      </c>
      <c r="L51" s="27" t="s">
        <v>21</v>
      </c>
      <c r="M51" s="27" t="s">
        <v>21</v>
      </c>
      <c r="N51" s="27" t="s">
        <v>21</v>
      </c>
      <c r="O51" s="27" t="s">
        <v>21</v>
      </c>
      <c r="P51" s="27" t="s">
        <v>21</v>
      </c>
      <c r="Q51" s="26">
        <f>=IF(G51="x", $F51, 0)</f>
      </c>
      <c r="R51" s="26">
        <f>=IF(H51="x", $F51, 0)</f>
      </c>
      <c r="S51" s="26">
        <f>=IF(I51="x", $F51, 0)</f>
      </c>
      <c r="T51" s="26">
        <f>=IF(J51="x", $F51, 0)</f>
      </c>
      <c r="U51" s="26">
        <f>=IF(K51="x", $F51, 0)</f>
      </c>
      <c r="V51" s="26">
        <f>=IF(L51="x", $F51, 0)</f>
      </c>
      <c r="W51" s="26">
        <f>=IF(M51="x", $F51, 0)</f>
      </c>
      <c r="X51" s="26">
        <f>=IF(N51="x", $F51, 0)</f>
      </c>
      <c r="Y51" s="26">
        <f>=IF(O51="x", $F51, 0)</f>
      </c>
      <c r="Z51" s="26">
        <f>=IF(P51="x", $F51, 0)</f>
      </c>
    </row>
    <row r="52" ht="20" customHeight="1" spans="1:26" x14ac:dyDescent="0.25">
      <c r="A52" s="20">
        <v>47</v>
      </c>
      <c r="B52" s="21" t="s">
        <v>21</v>
      </c>
      <c r="C52" s="21" t="s">
        <v>21</v>
      </c>
      <c r="D52" s="22" t="s">
        <v>21</v>
      </c>
      <c r="E52" s="20">
        <f>=COUNTIF(G52:P52, "x")</f>
      </c>
      <c r="F52" s="22">
        <f>=IF(E52&gt;0, D52/E52, 0)</f>
      </c>
      <c r="G52" s="23" t="s">
        <v>21</v>
      </c>
      <c r="H52" s="23" t="s">
        <v>21</v>
      </c>
      <c r="I52" s="23" t="s">
        <v>21</v>
      </c>
      <c r="J52" s="23" t="s">
        <v>21</v>
      </c>
      <c r="K52" s="23" t="s">
        <v>21</v>
      </c>
      <c r="L52" s="23" t="s">
        <v>21</v>
      </c>
      <c r="M52" s="23" t="s">
        <v>21</v>
      </c>
      <c r="N52" s="23" t="s">
        <v>21</v>
      </c>
      <c r="O52" s="23" t="s">
        <v>21</v>
      </c>
      <c r="P52" s="23" t="s">
        <v>21</v>
      </c>
      <c r="Q52" s="22">
        <f>=IF(G52="x", $F52, 0)</f>
      </c>
      <c r="R52" s="22">
        <f>=IF(H52="x", $F52, 0)</f>
      </c>
      <c r="S52" s="22">
        <f>=IF(I52="x", $F52, 0)</f>
      </c>
      <c r="T52" s="22">
        <f>=IF(J52="x", $F52, 0)</f>
      </c>
      <c r="U52" s="22">
        <f>=IF(K52="x", $F52, 0)</f>
      </c>
      <c r="V52" s="22">
        <f>=IF(L52="x", $F52, 0)</f>
      </c>
      <c r="W52" s="22">
        <f>=IF(M52="x", $F52, 0)</f>
      </c>
      <c r="X52" s="22">
        <f>=IF(N52="x", $F52, 0)</f>
      </c>
      <c r="Y52" s="22">
        <f>=IF(O52="x", $F52, 0)</f>
      </c>
      <c r="Z52" s="22">
        <f>=IF(P52="x", $F52, 0)</f>
      </c>
    </row>
    <row r="53" ht="20" customHeight="1" spans="1:26" x14ac:dyDescent="0.25">
      <c r="A53" s="24">
        <v>48</v>
      </c>
      <c r="B53" s="25" t="s">
        <v>21</v>
      </c>
      <c r="C53" s="25" t="s">
        <v>21</v>
      </c>
      <c r="D53" s="26" t="s">
        <v>21</v>
      </c>
      <c r="E53" s="24">
        <f>=COUNTIF(G53:P53, "x")</f>
      </c>
      <c r="F53" s="26">
        <f>=IF(E53&gt;0, D53/E53, 0)</f>
      </c>
      <c r="G53" s="27" t="s">
        <v>21</v>
      </c>
      <c r="H53" s="27" t="s">
        <v>21</v>
      </c>
      <c r="I53" s="27" t="s">
        <v>21</v>
      </c>
      <c r="J53" s="27" t="s">
        <v>21</v>
      </c>
      <c r="K53" s="27" t="s">
        <v>21</v>
      </c>
      <c r="L53" s="27" t="s">
        <v>21</v>
      </c>
      <c r="M53" s="27" t="s">
        <v>21</v>
      </c>
      <c r="N53" s="27" t="s">
        <v>21</v>
      </c>
      <c r="O53" s="27" t="s">
        <v>21</v>
      </c>
      <c r="P53" s="27" t="s">
        <v>21</v>
      </c>
      <c r="Q53" s="26">
        <f>=IF(G53="x", $F53, 0)</f>
      </c>
      <c r="R53" s="26">
        <f>=IF(H53="x", $F53, 0)</f>
      </c>
      <c r="S53" s="26">
        <f>=IF(I53="x", $F53, 0)</f>
      </c>
      <c r="T53" s="26">
        <f>=IF(J53="x", $F53, 0)</f>
      </c>
      <c r="U53" s="26">
        <f>=IF(K53="x", $F53, 0)</f>
      </c>
      <c r="V53" s="26">
        <f>=IF(L53="x", $F53, 0)</f>
      </c>
      <c r="W53" s="26">
        <f>=IF(M53="x", $F53, 0)</f>
      </c>
      <c r="X53" s="26">
        <f>=IF(N53="x", $F53, 0)</f>
      </c>
      <c r="Y53" s="26">
        <f>=IF(O53="x", $F53, 0)</f>
      </c>
      <c r="Z53" s="26">
        <f>=IF(P53="x", $F53, 0)</f>
      </c>
    </row>
    <row r="54" ht="20" customHeight="1" spans="1:26" x14ac:dyDescent="0.25">
      <c r="A54" s="20">
        <v>49</v>
      </c>
      <c r="B54" s="21" t="s">
        <v>21</v>
      </c>
      <c r="C54" s="21" t="s">
        <v>21</v>
      </c>
      <c r="D54" s="22" t="s">
        <v>21</v>
      </c>
      <c r="E54" s="20">
        <f>=COUNTIF(G54:P54, "x")</f>
      </c>
      <c r="F54" s="22">
        <f>=IF(E54&gt;0, D54/E54, 0)</f>
      </c>
      <c r="G54" s="23" t="s">
        <v>21</v>
      </c>
      <c r="H54" s="23" t="s">
        <v>21</v>
      </c>
      <c r="I54" s="23" t="s">
        <v>21</v>
      </c>
      <c r="J54" s="23" t="s">
        <v>21</v>
      </c>
      <c r="K54" s="23" t="s">
        <v>21</v>
      </c>
      <c r="L54" s="23" t="s">
        <v>21</v>
      </c>
      <c r="M54" s="23" t="s">
        <v>21</v>
      </c>
      <c r="N54" s="23" t="s">
        <v>21</v>
      </c>
      <c r="O54" s="23" t="s">
        <v>21</v>
      </c>
      <c r="P54" s="23" t="s">
        <v>21</v>
      </c>
      <c r="Q54" s="22">
        <f>=IF(G54="x", $F54, 0)</f>
      </c>
      <c r="R54" s="22">
        <f>=IF(H54="x", $F54, 0)</f>
      </c>
      <c r="S54" s="22">
        <f>=IF(I54="x", $F54, 0)</f>
      </c>
      <c r="T54" s="22">
        <f>=IF(J54="x", $F54, 0)</f>
      </c>
      <c r="U54" s="22">
        <f>=IF(K54="x", $F54, 0)</f>
      </c>
      <c r="V54" s="22">
        <f>=IF(L54="x", $F54, 0)</f>
      </c>
      <c r="W54" s="22">
        <f>=IF(M54="x", $F54, 0)</f>
      </c>
      <c r="X54" s="22">
        <f>=IF(N54="x", $F54, 0)</f>
      </c>
      <c r="Y54" s="22">
        <f>=IF(O54="x", $F54, 0)</f>
      </c>
      <c r="Z54" s="22">
        <f>=IF(P54="x", $F54, 0)</f>
      </c>
    </row>
    <row r="55" ht="20" customHeight="1" spans="1:26" x14ac:dyDescent="0.25">
      <c r="A55" s="24">
        <v>50</v>
      </c>
      <c r="B55" s="25" t="s">
        <v>21</v>
      </c>
      <c r="C55" s="25" t="s">
        <v>21</v>
      </c>
      <c r="D55" s="26" t="s">
        <v>21</v>
      </c>
      <c r="E55" s="24">
        <f>=COUNTIF(G55:P55, "x")</f>
      </c>
      <c r="F55" s="26">
        <f>=IF(E55&gt;0, D55/E55, 0)</f>
      </c>
      <c r="G55" s="27" t="s">
        <v>21</v>
      </c>
      <c r="H55" s="27" t="s">
        <v>21</v>
      </c>
      <c r="I55" s="27" t="s">
        <v>21</v>
      </c>
      <c r="J55" s="27" t="s">
        <v>21</v>
      </c>
      <c r="K55" s="27" t="s">
        <v>21</v>
      </c>
      <c r="L55" s="27" t="s">
        <v>21</v>
      </c>
      <c r="M55" s="27" t="s">
        <v>21</v>
      </c>
      <c r="N55" s="27" t="s">
        <v>21</v>
      </c>
      <c r="O55" s="27" t="s">
        <v>21</v>
      </c>
      <c r="P55" s="27" t="s">
        <v>21</v>
      </c>
      <c r="Q55" s="26">
        <f>=IF(G55="x", $F55, 0)</f>
      </c>
      <c r="R55" s="26">
        <f>=IF(H55="x", $F55, 0)</f>
      </c>
      <c r="S55" s="26">
        <f>=IF(I55="x", $F55, 0)</f>
      </c>
      <c r="T55" s="26">
        <f>=IF(J55="x", $F55, 0)</f>
      </c>
      <c r="U55" s="26">
        <f>=IF(K55="x", $F55, 0)</f>
      </c>
      <c r="V55" s="26">
        <f>=IF(L55="x", $F55, 0)</f>
      </c>
      <c r="W55" s="26">
        <f>=IF(M55="x", $F55, 0)</f>
      </c>
      <c r="X55" s="26">
        <f>=IF(N55="x", $F55, 0)</f>
      </c>
      <c r="Y55" s="26">
        <f>=IF(O55="x", $F55, 0)</f>
      </c>
      <c r="Z55" s="26">
        <f>=IF(P55="x", $F55, 0)</f>
      </c>
    </row>
    <row r="56" ht="20" customHeight="1" spans="1:26" x14ac:dyDescent="0.25">
      <c r="A56" s="20">
        <v>51</v>
      </c>
      <c r="B56" s="21" t="s">
        <v>21</v>
      </c>
      <c r="C56" s="21" t="s">
        <v>21</v>
      </c>
      <c r="D56" s="22" t="s">
        <v>21</v>
      </c>
      <c r="E56" s="20">
        <f>=COUNTIF(G56:P56, "x")</f>
      </c>
      <c r="F56" s="22">
        <f>=IF(E56&gt;0, D56/E56, 0)</f>
      </c>
      <c r="G56" s="23" t="s">
        <v>21</v>
      </c>
      <c r="H56" s="23" t="s">
        <v>21</v>
      </c>
      <c r="I56" s="23" t="s">
        <v>21</v>
      </c>
      <c r="J56" s="23" t="s">
        <v>21</v>
      </c>
      <c r="K56" s="23" t="s">
        <v>21</v>
      </c>
      <c r="L56" s="23" t="s">
        <v>21</v>
      </c>
      <c r="M56" s="23" t="s">
        <v>21</v>
      </c>
      <c r="N56" s="23" t="s">
        <v>21</v>
      </c>
      <c r="O56" s="23" t="s">
        <v>21</v>
      </c>
      <c r="P56" s="23" t="s">
        <v>21</v>
      </c>
      <c r="Q56" s="22">
        <f>=IF(G56="x", $F56, 0)</f>
      </c>
      <c r="R56" s="22">
        <f>=IF(H56="x", $F56, 0)</f>
      </c>
      <c r="S56" s="22">
        <f>=IF(I56="x", $F56, 0)</f>
      </c>
      <c r="T56" s="22">
        <f>=IF(J56="x", $F56, 0)</f>
      </c>
      <c r="U56" s="22">
        <f>=IF(K56="x", $F56, 0)</f>
      </c>
      <c r="V56" s="22">
        <f>=IF(L56="x", $F56, 0)</f>
      </c>
      <c r="W56" s="22">
        <f>=IF(M56="x", $F56, 0)</f>
      </c>
      <c r="X56" s="22">
        <f>=IF(N56="x", $F56, 0)</f>
      </c>
      <c r="Y56" s="22">
        <f>=IF(O56="x", $F56, 0)</f>
      </c>
      <c r="Z56" s="22">
        <f>=IF(P56="x", $F56, 0)</f>
      </c>
    </row>
    <row r="57" ht="20" customHeight="1" spans="1:26" x14ac:dyDescent="0.25">
      <c r="A57" s="24">
        <v>52</v>
      </c>
      <c r="B57" s="25" t="s">
        <v>21</v>
      </c>
      <c r="C57" s="25" t="s">
        <v>21</v>
      </c>
      <c r="D57" s="26" t="s">
        <v>21</v>
      </c>
      <c r="E57" s="24">
        <f>=COUNTIF(G57:P57, "x")</f>
      </c>
      <c r="F57" s="26">
        <f>=IF(E57&gt;0, D57/E57, 0)</f>
      </c>
      <c r="G57" s="27" t="s">
        <v>21</v>
      </c>
      <c r="H57" s="27" t="s">
        <v>21</v>
      </c>
      <c r="I57" s="27" t="s">
        <v>21</v>
      </c>
      <c r="J57" s="27" t="s">
        <v>21</v>
      </c>
      <c r="K57" s="27" t="s">
        <v>21</v>
      </c>
      <c r="L57" s="27" t="s">
        <v>21</v>
      </c>
      <c r="M57" s="27" t="s">
        <v>21</v>
      </c>
      <c r="N57" s="27" t="s">
        <v>21</v>
      </c>
      <c r="O57" s="27" t="s">
        <v>21</v>
      </c>
      <c r="P57" s="27" t="s">
        <v>21</v>
      </c>
      <c r="Q57" s="26">
        <f>=IF(G57="x", $F57, 0)</f>
      </c>
      <c r="R57" s="26">
        <f>=IF(H57="x", $F57, 0)</f>
      </c>
      <c r="S57" s="26">
        <f>=IF(I57="x", $F57, 0)</f>
      </c>
      <c r="T57" s="26">
        <f>=IF(J57="x", $F57, 0)</f>
      </c>
      <c r="U57" s="26">
        <f>=IF(K57="x", $F57, 0)</f>
      </c>
      <c r="V57" s="26">
        <f>=IF(L57="x", $F57, 0)</f>
      </c>
      <c r="W57" s="26">
        <f>=IF(M57="x", $F57, 0)</f>
      </c>
      <c r="X57" s="26">
        <f>=IF(N57="x", $F57, 0)</f>
      </c>
      <c r="Y57" s="26">
        <f>=IF(O57="x", $F57, 0)</f>
      </c>
      <c r="Z57" s="26">
        <f>=IF(P57="x", $F57, 0)</f>
      </c>
    </row>
    <row r="58" ht="20" customHeight="1" spans="1:26" x14ac:dyDescent="0.25">
      <c r="A58" s="20">
        <v>53</v>
      </c>
      <c r="B58" s="21" t="s">
        <v>21</v>
      </c>
      <c r="C58" s="21" t="s">
        <v>21</v>
      </c>
      <c r="D58" s="22" t="s">
        <v>21</v>
      </c>
      <c r="E58" s="20">
        <f>=COUNTIF(G58:P58, "x")</f>
      </c>
      <c r="F58" s="22">
        <f>=IF(E58&gt;0, D58/E58, 0)</f>
      </c>
      <c r="G58" s="23" t="s">
        <v>21</v>
      </c>
      <c r="H58" s="23" t="s">
        <v>21</v>
      </c>
      <c r="I58" s="23" t="s">
        <v>21</v>
      </c>
      <c r="J58" s="23" t="s">
        <v>21</v>
      </c>
      <c r="K58" s="23" t="s">
        <v>21</v>
      </c>
      <c r="L58" s="23" t="s">
        <v>21</v>
      </c>
      <c r="M58" s="23" t="s">
        <v>21</v>
      </c>
      <c r="N58" s="23" t="s">
        <v>21</v>
      </c>
      <c r="O58" s="23" t="s">
        <v>21</v>
      </c>
      <c r="P58" s="23" t="s">
        <v>21</v>
      </c>
      <c r="Q58" s="22">
        <f>=IF(G58="x", $F58, 0)</f>
      </c>
      <c r="R58" s="22">
        <f>=IF(H58="x", $F58, 0)</f>
      </c>
      <c r="S58" s="22">
        <f>=IF(I58="x", $F58, 0)</f>
      </c>
      <c r="T58" s="22">
        <f>=IF(J58="x", $F58, 0)</f>
      </c>
      <c r="U58" s="22">
        <f>=IF(K58="x", $F58, 0)</f>
      </c>
      <c r="V58" s="22">
        <f>=IF(L58="x", $F58, 0)</f>
      </c>
      <c r="W58" s="22">
        <f>=IF(M58="x", $F58, 0)</f>
      </c>
      <c r="X58" s="22">
        <f>=IF(N58="x", $F58, 0)</f>
      </c>
      <c r="Y58" s="22">
        <f>=IF(O58="x", $F58, 0)</f>
      </c>
      <c r="Z58" s="22">
        <f>=IF(P58="x", $F58, 0)</f>
      </c>
    </row>
    <row r="59" ht="20" customHeight="1" spans="1:26" x14ac:dyDescent="0.25">
      <c r="A59" s="24">
        <v>54</v>
      </c>
      <c r="B59" s="25" t="s">
        <v>21</v>
      </c>
      <c r="C59" s="25" t="s">
        <v>21</v>
      </c>
      <c r="D59" s="26" t="s">
        <v>21</v>
      </c>
      <c r="E59" s="24">
        <f>=COUNTIF(G59:P59, "x")</f>
      </c>
      <c r="F59" s="26">
        <f>=IF(E59&gt;0, D59/E59, 0)</f>
      </c>
      <c r="G59" s="27" t="s">
        <v>21</v>
      </c>
      <c r="H59" s="27" t="s">
        <v>21</v>
      </c>
      <c r="I59" s="27" t="s">
        <v>21</v>
      </c>
      <c r="J59" s="27" t="s">
        <v>21</v>
      </c>
      <c r="K59" s="27" t="s">
        <v>21</v>
      </c>
      <c r="L59" s="27" t="s">
        <v>21</v>
      </c>
      <c r="M59" s="27" t="s">
        <v>21</v>
      </c>
      <c r="N59" s="27" t="s">
        <v>21</v>
      </c>
      <c r="O59" s="27" t="s">
        <v>21</v>
      </c>
      <c r="P59" s="27" t="s">
        <v>21</v>
      </c>
      <c r="Q59" s="26">
        <f>=IF(G59="x", $F59, 0)</f>
      </c>
      <c r="R59" s="26">
        <f>=IF(H59="x", $F59, 0)</f>
      </c>
      <c r="S59" s="26">
        <f>=IF(I59="x", $F59, 0)</f>
      </c>
      <c r="T59" s="26">
        <f>=IF(J59="x", $F59, 0)</f>
      </c>
      <c r="U59" s="26">
        <f>=IF(K59="x", $F59, 0)</f>
      </c>
      <c r="V59" s="26">
        <f>=IF(L59="x", $F59, 0)</f>
      </c>
      <c r="W59" s="26">
        <f>=IF(M59="x", $F59, 0)</f>
      </c>
      <c r="X59" s="26">
        <f>=IF(N59="x", $F59, 0)</f>
      </c>
      <c r="Y59" s="26">
        <f>=IF(O59="x", $F59, 0)</f>
      </c>
      <c r="Z59" s="26">
        <f>=IF(P59="x", $F59, 0)</f>
      </c>
    </row>
    <row r="60" ht="20" customHeight="1" spans="1:26" x14ac:dyDescent="0.25">
      <c r="A60" s="20">
        <v>55</v>
      </c>
      <c r="B60" s="21" t="s">
        <v>21</v>
      </c>
      <c r="C60" s="21" t="s">
        <v>21</v>
      </c>
      <c r="D60" s="22" t="s">
        <v>21</v>
      </c>
      <c r="E60" s="20">
        <f>=COUNTIF(G60:P60, "x")</f>
      </c>
      <c r="F60" s="22">
        <f>=IF(E60&gt;0, D60/E60, 0)</f>
      </c>
      <c r="G60" s="23" t="s">
        <v>21</v>
      </c>
      <c r="H60" s="23" t="s">
        <v>21</v>
      </c>
      <c r="I60" s="23" t="s">
        <v>21</v>
      </c>
      <c r="J60" s="23" t="s">
        <v>21</v>
      </c>
      <c r="K60" s="23" t="s">
        <v>21</v>
      </c>
      <c r="L60" s="23" t="s">
        <v>21</v>
      </c>
      <c r="M60" s="23" t="s">
        <v>21</v>
      </c>
      <c r="N60" s="23" t="s">
        <v>21</v>
      </c>
      <c r="O60" s="23" t="s">
        <v>21</v>
      </c>
      <c r="P60" s="23" t="s">
        <v>21</v>
      </c>
      <c r="Q60" s="22">
        <f>=IF(G60="x", $F60, 0)</f>
      </c>
      <c r="R60" s="22">
        <f>=IF(H60="x", $F60, 0)</f>
      </c>
      <c r="S60" s="22">
        <f>=IF(I60="x", $F60, 0)</f>
      </c>
      <c r="T60" s="22">
        <f>=IF(J60="x", $F60, 0)</f>
      </c>
      <c r="U60" s="22">
        <f>=IF(K60="x", $F60, 0)</f>
      </c>
      <c r="V60" s="22">
        <f>=IF(L60="x", $F60, 0)</f>
      </c>
      <c r="W60" s="22">
        <f>=IF(M60="x", $F60, 0)</f>
      </c>
      <c r="X60" s="22">
        <f>=IF(N60="x", $F60, 0)</f>
      </c>
      <c r="Y60" s="22">
        <f>=IF(O60="x", $F60, 0)</f>
      </c>
      <c r="Z60" s="22">
        <f>=IF(P60="x", $F60, 0)</f>
      </c>
    </row>
    <row r="61" ht="20" customHeight="1" spans="1:26" x14ac:dyDescent="0.25">
      <c r="A61" s="24">
        <v>56</v>
      </c>
      <c r="B61" s="25" t="s">
        <v>21</v>
      </c>
      <c r="C61" s="25" t="s">
        <v>21</v>
      </c>
      <c r="D61" s="26" t="s">
        <v>21</v>
      </c>
      <c r="E61" s="24">
        <f>=COUNTIF(G61:P61, "x")</f>
      </c>
      <c r="F61" s="26">
        <f>=IF(E61&gt;0, D61/E61, 0)</f>
      </c>
      <c r="G61" s="27" t="s">
        <v>21</v>
      </c>
      <c r="H61" s="27" t="s">
        <v>21</v>
      </c>
      <c r="I61" s="27" t="s">
        <v>21</v>
      </c>
      <c r="J61" s="27" t="s">
        <v>21</v>
      </c>
      <c r="K61" s="27" t="s">
        <v>21</v>
      </c>
      <c r="L61" s="27" t="s">
        <v>21</v>
      </c>
      <c r="M61" s="27" t="s">
        <v>21</v>
      </c>
      <c r="N61" s="27" t="s">
        <v>21</v>
      </c>
      <c r="O61" s="27" t="s">
        <v>21</v>
      </c>
      <c r="P61" s="27" t="s">
        <v>21</v>
      </c>
      <c r="Q61" s="26">
        <f>=IF(G61="x", $F61, 0)</f>
      </c>
      <c r="R61" s="26">
        <f>=IF(H61="x", $F61, 0)</f>
      </c>
      <c r="S61" s="26">
        <f>=IF(I61="x", $F61, 0)</f>
      </c>
      <c r="T61" s="26">
        <f>=IF(J61="x", $F61, 0)</f>
      </c>
      <c r="U61" s="26">
        <f>=IF(K61="x", $F61, 0)</f>
      </c>
      <c r="V61" s="26">
        <f>=IF(L61="x", $F61, 0)</f>
      </c>
      <c r="W61" s="26">
        <f>=IF(M61="x", $F61, 0)</f>
      </c>
      <c r="X61" s="26">
        <f>=IF(N61="x", $F61, 0)</f>
      </c>
      <c r="Y61" s="26">
        <f>=IF(O61="x", $F61, 0)</f>
      </c>
      <c r="Z61" s="26">
        <f>=IF(P61="x", $F61, 0)</f>
      </c>
    </row>
    <row r="62" ht="20" customHeight="1" spans="1:26" x14ac:dyDescent="0.25">
      <c r="A62" s="20">
        <v>57</v>
      </c>
      <c r="B62" s="21" t="s">
        <v>21</v>
      </c>
      <c r="C62" s="21" t="s">
        <v>21</v>
      </c>
      <c r="D62" s="22" t="s">
        <v>21</v>
      </c>
      <c r="E62" s="20">
        <f>=COUNTIF(G62:P62, "x")</f>
      </c>
      <c r="F62" s="22">
        <f>=IF(E62&gt;0, D62/E62, 0)</f>
      </c>
      <c r="G62" s="23" t="s">
        <v>21</v>
      </c>
      <c r="H62" s="23" t="s">
        <v>21</v>
      </c>
      <c r="I62" s="23" t="s">
        <v>21</v>
      </c>
      <c r="J62" s="23" t="s">
        <v>21</v>
      </c>
      <c r="K62" s="23" t="s">
        <v>21</v>
      </c>
      <c r="L62" s="23" t="s">
        <v>21</v>
      </c>
      <c r="M62" s="23" t="s">
        <v>21</v>
      </c>
      <c r="N62" s="23" t="s">
        <v>21</v>
      </c>
      <c r="O62" s="23" t="s">
        <v>21</v>
      </c>
      <c r="P62" s="23" t="s">
        <v>21</v>
      </c>
      <c r="Q62" s="22">
        <f>=IF(G62="x", $F62, 0)</f>
      </c>
      <c r="R62" s="22">
        <f>=IF(H62="x", $F62, 0)</f>
      </c>
      <c r="S62" s="22">
        <f>=IF(I62="x", $F62, 0)</f>
      </c>
      <c r="T62" s="22">
        <f>=IF(J62="x", $F62, 0)</f>
      </c>
      <c r="U62" s="22">
        <f>=IF(K62="x", $F62, 0)</f>
      </c>
      <c r="V62" s="22">
        <f>=IF(L62="x", $F62, 0)</f>
      </c>
      <c r="W62" s="22">
        <f>=IF(M62="x", $F62, 0)</f>
      </c>
      <c r="X62" s="22">
        <f>=IF(N62="x", $F62, 0)</f>
      </c>
      <c r="Y62" s="22">
        <f>=IF(O62="x", $F62, 0)</f>
      </c>
      <c r="Z62" s="22">
        <f>=IF(P62="x", $F62, 0)</f>
      </c>
    </row>
    <row r="63" ht="20" customHeight="1" spans="1:26" x14ac:dyDescent="0.25">
      <c r="A63" s="24">
        <v>58</v>
      </c>
      <c r="B63" s="25" t="s">
        <v>21</v>
      </c>
      <c r="C63" s="25" t="s">
        <v>21</v>
      </c>
      <c r="D63" s="26" t="s">
        <v>21</v>
      </c>
      <c r="E63" s="24">
        <f>=COUNTIF(G63:P63, "x")</f>
      </c>
      <c r="F63" s="26">
        <f>=IF(E63&gt;0, D63/E63, 0)</f>
      </c>
      <c r="G63" s="27" t="s">
        <v>21</v>
      </c>
      <c r="H63" s="27" t="s">
        <v>21</v>
      </c>
      <c r="I63" s="27" t="s">
        <v>21</v>
      </c>
      <c r="J63" s="27" t="s">
        <v>21</v>
      </c>
      <c r="K63" s="27" t="s">
        <v>21</v>
      </c>
      <c r="L63" s="27" t="s">
        <v>21</v>
      </c>
      <c r="M63" s="27" t="s">
        <v>21</v>
      </c>
      <c r="N63" s="27" t="s">
        <v>21</v>
      </c>
      <c r="O63" s="27" t="s">
        <v>21</v>
      </c>
      <c r="P63" s="27" t="s">
        <v>21</v>
      </c>
      <c r="Q63" s="26">
        <f>=IF(G63="x", $F63, 0)</f>
      </c>
      <c r="R63" s="26">
        <f>=IF(H63="x", $F63, 0)</f>
      </c>
      <c r="S63" s="26">
        <f>=IF(I63="x", $F63, 0)</f>
      </c>
      <c r="T63" s="26">
        <f>=IF(J63="x", $F63, 0)</f>
      </c>
      <c r="U63" s="26">
        <f>=IF(K63="x", $F63, 0)</f>
      </c>
      <c r="V63" s="26">
        <f>=IF(L63="x", $F63, 0)</f>
      </c>
      <c r="W63" s="26">
        <f>=IF(M63="x", $F63, 0)</f>
      </c>
      <c r="X63" s="26">
        <f>=IF(N63="x", $F63, 0)</f>
      </c>
      <c r="Y63" s="26">
        <f>=IF(O63="x", $F63, 0)</f>
      </c>
      <c r="Z63" s="26">
        <f>=IF(P63="x", $F63, 0)</f>
      </c>
    </row>
    <row r="64" ht="20" customHeight="1" spans="1:26" x14ac:dyDescent="0.25">
      <c r="A64" s="20">
        <v>59</v>
      </c>
      <c r="B64" s="21" t="s">
        <v>21</v>
      </c>
      <c r="C64" s="21" t="s">
        <v>21</v>
      </c>
      <c r="D64" s="22" t="s">
        <v>21</v>
      </c>
      <c r="E64" s="20">
        <f>=COUNTIF(G64:P64, "x")</f>
      </c>
      <c r="F64" s="22">
        <f>=IF(E64&gt;0, D64/E64, 0)</f>
      </c>
      <c r="G64" s="23" t="s">
        <v>21</v>
      </c>
      <c r="H64" s="23" t="s">
        <v>21</v>
      </c>
      <c r="I64" s="23" t="s">
        <v>21</v>
      </c>
      <c r="J64" s="23" t="s">
        <v>21</v>
      </c>
      <c r="K64" s="23" t="s">
        <v>21</v>
      </c>
      <c r="L64" s="23" t="s">
        <v>21</v>
      </c>
      <c r="M64" s="23" t="s">
        <v>21</v>
      </c>
      <c r="N64" s="23" t="s">
        <v>21</v>
      </c>
      <c r="O64" s="23" t="s">
        <v>21</v>
      </c>
      <c r="P64" s="23" t="s">
        <v>21</v>
      </c>
      <c r="Q64" s="22">
        <f>=IF(G64="x", $F64, 0)</f>
      </c>
      <c r="R64" s="22">
        <f>=IF(H64="x", $F64, 0)</f>
      </c>
      <c r="S64" s="22">
        <f>=IF(I64="x", $F64, 0)</f>
      </c>
      <c r="T64" s="22">
        <f>=IF(J64="x", $F64, 0)</f>
      </c>
      <c r="U64" s="22">
        <f>=IF(K64="x", $F64, 0)</f>
      </c>
      <c r="V64" s="22">
        <f>=IF(L64="x", $F64, 0)</f>
      </c>
      <c r="W64" s="22">
        <f>=IF(M64="x", $F64, 0)</f>
      </c>
      <c r="X64" s="22">
        <f>=IF(N64="x", $F64, 0)</f>
      </c>
      <c r="Y64" s="22">
        <f>=IF(O64="x", $F64, 0)</f>
      </c>
      <c r="Z64" s="22">
        <f>=IF(P64="x", $F64, 0)</f>
      </c>
    </row>
    <row r="65" ht="20" customHeight="1" spans="1:26" x14ac:dyDescent="0.25">
      <c r="A65" s="24">
        <v>60</v>
      </c>
      <c r="B65" s="25" t="s">
        <v>21</v>
      </c>
      <c r="C65" s="25" t="s">
        <v>21</v>
      </c>
      <c r="D65" s="26" t="s">
        <v>21</v>
      </c>
      <c r="E65" s="24">
        <f>=COUNTIF(G65:P65, "x")</f>
      </c>
      <c r="F65" s="26">
        <f>=IF(E65&gt;0, D65/E65, 0)</f>
      </c>
      <c r="G65" s="27" t="s">
        <v>21</v>
      </c>
      <c r="H65" s="27" t="s">
        <v>21</v>
      </c>
      <c r="I65" s="27" t="s">
        <v>21</v>
      </c>
      <c r="J65" s="27" t="s">
        <v>21</v>
      </c>
      <c r="K65" s="27" t="s">
        <v>21</v>
      </c>
      <c r="L65" s="27" t="s">
        <v>21</v>
      </c>
      <c r="M65" s="27" t="s">
        <v>21</v>
      </c>
      <c r="N65" s="27" t="s">
        <v>21</v>
      </c>
      <c r="O65" s="27" t="s">
        <v>21</v>
      </c>
      <c r="P65" s="27" t="s">
        <v>21</v>
      </c>
      <c r="Q65" s="26">
        <f>=IF(G65="x", $F65, 0)</f>
      </c>
      <c r="R65" s="26">
        <f>=IF(H65="x", $F65, 0)</f>
      </c>
      <c r="S65" s="26">
        <f>=IF(I65="x", $F65, 0)</f>
      </c>
      <c r="T65" s="26">
        <f>=IF(J65="x", $F65, 0)</f>
      </c>
      <c r="U65" s="26">
        <f>=IF(K65="x", $F65, 0)</f>
      </c>
      <c r="V65" s="26">
        <f>=IF(L65="x", $F65, 0)</f>
      </c>
      <c r="W65" s="26">
        <f>=IF(M65="x", $F65, 0)</f>
      </c>
      <c r="X65" s="26">
        <f>=IF(N65="x", $F65, 0)</f>
      </c>
      <c r="Y65" s="26">
        <f>=IF(O65="x", $F65, 0)</f>
      </c>
      <c r="Z65" s="26">
        <f>=IF(P65="x", $F65, 0)</f>
      </c>
    </row>
    <row r="66" ht="20" customHeight="1" spans="1:26" x14ac:dyDescent="0.25">
      <c r="A66" s="20">
        <v>61</v>
      </c>
      <c r="B66" s="21" t="s">
        <v>21</v>
      </c>
      <c r="C66" s="21" t="s">
        <v>21</v>
      </c>
      <c r="D66" s="22" t="s">
        <v>21</v>
      </c>
      <c r="E66" s="20">
        <f>=COUNTIF(G66:P66, "x")</f>
      </c>
      <c r="F66" s="22">
        <f>=IF(E66&gt;0, D66/E66, 0)</f>
      </c>
      <c r="G66" s="23" t="s">
        <v>21</v>
      </c>
      <c r="H66" s="23" t="s">
        <v>21</v>
      </c>
      <c r="I66" s="23" t="s">
        <v>21</v>
      </c>
      <c r="J66" s="23" t="s">
        <v>21</v>
      </c>
      <c r="K66" s="23" t="s">
        <v>21</v>
      </c>
      <c r="L66" s="23" t="s">
        <v>21</v>
      </c>
      <c r="M66" s="23" t="s">
        <v>21</v>
      </c>
      <c r="N66" s="23" t="s">
        <v>21</v>
      </c>
      <c r="O66" s="23" t="s">
        <v>21</v>
      </c>
      <c r="P66" s="23" t="s">
        <v>21</v>
      </c>
      <c r="Q66" s="22">
        <f>=IF(G66="x", $F66, 0)</f>
      </c>
      <c r="R66" s="22">
        <f>=IF(H66="x", $F66, 0)</f>
      </c>
      <c r="S66" s="22">
        <f>=IF(I66="x", $F66, 0)</f>
      </c>
      <c r="T66" s="22">
        <f>=IF(J66="x", $F66, 0)</f>
      </c>
      <c r="U66" s="22">
        <f>=IF(K66="x", $F66, 0)</f>
      </c>
      <c r="V66" s="22">
        <f>=IF(L66="x", $F66, 0)</f>
      </c>
      <c r="W66" s="22">
        <f>=IF(M66="x", $F66, 0)</f>
      </c>
      <c r="X66" s="22">
        <f>=IF(N66="x", $F66, 0)</f>
      </c>
      <c r="Y66" s="22">
        <f>=IF(O66="x", $F66, 0)</f>
      </c>
      <c r="Z66" s="22">
        <f>=IF(P66="x", $F66, 0)</f>
      </c>
    </row>
    <row r="67" ht="20" customHeight="1" spans="1:26" x14ac:dyDescent="0.25">
      <c r="A67" s="24">
        <v>62</v>
      </c>
      <c r="B67" s="25" t="s">
        <v>21</v>
      </c>
      <c r="C67" s="25" t="s">
        <v>21</v>
      </c>
      <c r="D67" s="26" t="s">
        <v>21</v>
      </c>
      <c r="E67" s="24">
        <f>=COUNTIF(G67:P67, "x")</f>
      </c>
      <c r="F67" s="26">
        <f>=IF(E67&gt;0, D67/E67, 0)</f>
      </c>
      <c r="G67" s="27" t="s">
        <v>21</v>
      </c>
      <c r="H67" s="27" t="s">
        <v>21</v>
      </c>
      <c r="I67" s="27" t="s">
        <v>21</v>
      </c>
      <c r="J67" s="27" t="s">
        <v>21</v>
      </c>
      <c r="K67" s="27" t="s">
        <v>21</v>
      </c>
      <c r="L67" s="27" t="s">
        <v>21</v>
      </c>
      <c r="M67" s="27" t="s">
        <v>21</v>
      </c>
      <c r="N67" s="27" t="s">
        <v>21</v>
      </c>
      <c r="O67" s="27" t="s">
        <v>21</v>
      </c>
      <c r="P67" s="27" t="s">
        <v>21</v>
      </c>
      <c r="Q67" s="26">
        <f>=IF(G67="x", $F67, 0)</f>
      </c>
      <c r="R67" s="26">
        <f>=IF(H67="x", $F67, 0)</f>
      </c>
      <c r="S67" s="26">
        <f>=IF(I67="x", $F67, 0)</f>
      </c>
      <c r="T67" s="26">
        <f>=IF(J67="x", $F67, 0)</f>
      </c>
      <c r="U67" s="26">
        <f>=IF(K67="x", $F67, 0)</f>
      </c>
      <c r="V67" s="26">
        <f>=IF(L67="x", $F67, 0)</f>
      </c>
      <c r="W67" s="26">
        <f>=IF(M67="x", $F67, 0)</f>
      </c>
      <c r="X67" s="26">
        <f>=IF(N67="x", $F67, 0)</f>
      </c>
      <c r="Y67" s="26">
        <f>=IF(O67="x", $F67, 0)</f>
      </c>
      <c r="Z67" s="26">
        <f>=IF(P67="x", $F67, 0)</f>
      </c>
    </row>
    <row r="68" ht="20" customHeight="1" spans="1:26" x14ac:dyDescent="0.25">
      <c r="A68" s="20">
        <v>63</v>
      </c>
      <c r="B68" s="21" t="s">
        <v>21</v>
      </c>
      <c r="C68" s="21" t="s">
        <v>21</v>
      </c>
      <c r="D68" s="22" t="s">
        <v>21</v>
      </c>
      <c r="E68" s="20">
        <f>=COUNTIF(G68:P68, "x")</f>
      </c>
      <c r="F68" s="22">
        <f>=IF(E68&gt;0, D68/E68, 0)</f>
      </c>
      <c r="G68" s="23" t="s">
        <v>21</v>
      </c>
      <c r="H68" s="23" t="s">
        <v>21</v>
      </c>
      <c r="I68" s="23" t="s">
        <v>21</v>
      </c>
      <c r="J68" s="23" t="s">
        <v>21</v>
      </c>
      <c r="K68" s="23" t="s">
        <v>21</v>
      </c>
      <c r="L68" s="23" t="s">
        <v>21</v>
      </c>
      <c r="M68" s="23" t="s">
        <v>21</v>
      </c>
      <c r="N68" s="23" t="s">
        <v>21</v>
      </c>
      <c r="O68" s="23" t="s">
        <v>21</v>
      </c>
      <c r="P68" s="23" t="s">
        <v>21</v>
      </c>
      <c r="Q68" s="22">
        <f>=IF(G68="x", $F68, 0)</f>
      </c>
      <c r="R68" s="22">
        <f>=IF(H68="x", $F68, 0)</f>
      </c>
      <c r="S68" s="22">
        <f>=IF(I68="x", $F68, 0)</f>
      </c>
      <c r="T68" s="22">
        <f>=IF(J68="x", $F68, 0)</f>
      </c>
      <c r="U68" s="22">
        <f>=IF(K68="x", $F68, 0)</f>
      </c>
      <c r="V68" s="22">
        <f>=IF(L68="x", $F68, 0)</f>
      </c>
      <c r="W68" s="22">
        <f>=IF(M68="x", $F68, 0)</f>
      </c>
      <c r="X68" s="22">
        <f>=IF(N68="x", $F68, 0)</f>
      </c>
      <c r="Y68" s="22">
        <f>=IF(O68="x", $F68, 0)</f>
      </c>
      <c r="Z68" s="22">
        <f>=IF(P68="x", $F68, 0)</f>
      </c>
    </row>
    <row r="69" ht="20" customHeight="1" spans="1:26" x14ac:dyDescent="0.25">
      <c r="A69" s="24">
        <v>64</v>
      </c>
      <c r="B69" s="25" t="s">
        <v>21</v>
      </c>
      <c r="C69" s="25" t="s">
        <v>21</v>
      </c>
      <c r="D69" s="26" t="s">
        <v>21</v>
      </c>
      <c r="E69" s="24">
        <f>=COUNTIF(G69:P69, "x")</f>
      </c>
      <c r="F69" s="26">
        <f>=IF(E69&gt;0, D69/E69, 0)</f>
      </c>
      <c r="G69" s="27" t="s">
        <v>21</v>
      </c>
      <c r="H69" s="27" t="s">
        <v>21</v>
      </c>
      <c r="I69" s="27" t="s">
        <v>21</v>
      </c>
      <c r="J69" s="27" t="s">
        <v>21</v>
      </c>
      <c r="K69" s="27" t="s">
        <v>21</v>
      </c>
      <c r="L69" s="27" t="s">
        <v>21</v>
      </c>
      <c r="M69" s="27" t="s">
        <v>21</v>
      </c>
      <c r="N69" s="27" t="s">
        <v>21</v>
      </c>
      <c r="O69" s="27" t="s">
        <v>21</v>
      </c>
      <c r="P69" s="27" t="s">
        <v>21</v>
      </c>
      <c r="Q69" s="26">
        <f>=IF(G69="x", $F69, 0)</f>
      </c>
      <c r="R69" s="26">
        <f>=IF(H69="x", $F69, 0)</f>
      </c>
      <c r="S69" s="26">
        <f>=IF(I69="x", $F69, 0)</f>
      </c>
      <c r="T69" s="26">
        <f>=IF(J69="x", $F69, 0)</f>
      </c>
      <c r="U69" s="26">
        <f>=IF(K69="x", $F69, 0)</f>
      </c>
      <c r="V69" s="26">
        <f>=IF(L69="x", $F69, 0)</f>
      </c>
      <c r="W69" s="26">
        <f>=IF(M69="x", $F69, 0)</f>
      </c>
      <c r="X69" s="26">
        <f>=IF(N69="x", $F69, 0)</f>
      </c>
      <c r="Y69" s="26">
        <f>=IF(O69="x", $F69, 0)</f>
      </c>
      <c r="Z69" s="26">
        <f>=IF(P69="x", $F69, 0)</f>
      </c>
    </row>
    <row r="70" ht="20" customHeight="1" spans="1:26" x14ac:dyDescent="0.25">
      <c r="A70" s="20">
        <v>65</v>
      </c>
      <c r="B70" s="21" t="s">
        <v>21</v>
      </c>
      <c r="C70" s="21" t="s">
        <v>21</v>
      </c>
      <c r="D70" s="22" t="s">
        <v>21</v>
      </c>
      <c r="E70" s="20">
        <f>=COUNTIF(G70:P70, "x")</f>
      </c>
      <c r="F70" s="22">
        <f>=IF(E70&gt;0, D70/E70, 0)</f>
      </c>
      <c r="G70" s="23" t="s">
        <v>21</v>
      </c>
      <c r="H70" s="23" t="s">
        <v>21</v>
      </c>
      <c r="I70" s="23" t="s">
        <v>21</v>
      </c>
      <c r="J70" s="23" t="s">
        <v>21</v>
      </c>
      <c r="K70" s="23" t="s">
        <v>21</v>
      </c>
      <c r="L70" s="23" t="s">
        <v>21</v>
      </c>
      <c r="M70" s="23" t="s">
        <v>21</v>
      </c>
      <c r="N70" s="23" t="s">
        <v>21</v>
      </c>
      <c r="O70" s="23" t="s">
        <v>21</v>
      </c>
      <c r="P70" s="23" t="s">
        <v>21</v>
      </c>
      <c r="Q70" s="22">
        <f>=IF(G70="x", $F70, 0)</f>
      </c>
      <c r="R70" s="22">
        <f>=IF(H70="x", $F70, 0)</f>
      </c>
      <c r="S70" s="22">
        <f>=IF(I70="x", $F70, 0)</f>
      </c>
      <c r="T70" s="22">
        <f>=IF(J70="x", $F70, 0)</f>
      </c>
      <c r="U70" s="22">
        <f>=IF(K70="x", $F70, 0)</f>
      </c>
      <c r="V70" s="22">
        <f>=IF(L70="x", $F70, 0)</f>
      </c>
      <c r="W70" s="22">
        <f>=IF(M70="x", $F70, 0)</f>
      </c>
      <c r="X70" s="22">
        <f>=IF(N70="x", $F70, 0)</f>
      </c>
      <c r="Y70" s="22">
        <f>=IF(O70="x", $F70, 0)</f>
      </c>
      <c r="Z70" s="22">
        <f>=IF(P70="x", $F70, 0)</f>
      </c>
    </row>
    <row r="71" ht="20" customHeight="1" spans="1:26" x14ac:dyDescent="0.25">
      <c r="A71" s="24">
        <v>66</v>
      </c>
      <c r="B71" s="25" t="s">
        <v>21</v>
      </c>
      <c r="C71" s="25" t="s">
        <v>21</v>
      </c>
      <c r="D71" s="26" t="s">
        <v>21</v>
      </c>
      <c r="E71" s="24">
        <f>=COUNTIF(G71:P71, "x")</f>
      </c>
      <c r="F71" s="26">
        <f>=IF(E71&gt;0, D71/E71, 0)</f>
      </c>
      <c r="G71" s="27" t="s">
        <v>21</v>
      </c>
      <c r="H71" s="27" t="s">
        <v>21</v>
      </c>
      <c r="I71" s="27" t="s">
        <v>21</v>
      </c>
      <c r="J71" s="27" t="s">
        <v>21</v>
      </c>
      <c r="K71" s="27" t="s">
        <v>21</v>
      </c>
      <c r="L71" s="27" t="s">
        <v>21</v>
      </c>
      <c r="M71" s="27" t="s">
        <v>21</v>
      </c>
      <c r="N71" s="27" t="s">
        <v>21</v>
      </c>
      <c r="O71" s="27" t="s">
        <v>21</v>
      </c>
      <c r="P71" s="27" t="s">
        <v>21</v>
      </c>
      <c r="Q71" s="26">
        <f>=IF(G71="x", $F71, 0)</f>
      </c>
      <c r="R71" s="26">
        <f>=IF(H71="x", $F71, 0)</f>
      </c>
      <c r="S71" s="26">
        <f>=IF(I71="x", $F71, 0)</f>
      </c>
      <c r="T71" s="26">
        <f>=IF(J71="x", $F71, 0)</f>
      </c>
      <c r="U71" s="26">
        <f>=IF(K71="x", $F71, 0)</f>
      </c>
      <c r="V71" s="26">
        <f>=IF(L71="x", $F71, 0)</f>
      </c>
      <c r="W71" s="26">
        <f>=IF(M71="x", $F71, 0)</f>
      </c>
      <c r="X71" s="26">
        <f>=IF(N71="x", $F71, 0)</f>
      </c>
      <c r="Y71" s="26">
        <f>=IF(O71="x", $F71, 0)</f>
      </c>
      <c r="Z71" s="26">
        <f>=IF(P71="x", $F71, 0)</f>
      </c>
    </row>
    <row r="72" ht="20" customHeight="1" spans="1:26" x14ac:dyDescent="0.25">
      <c r="A72" s="20">
        <v>67</v>
      </c>
      <c r="B72" s="21" t="s">
        <v>21</v>
      </c>
      <c r="C72" s="21" t="s">
        <v>21</v>
      </c>
      <c r="D72" s="22" t="s">
        <v>21</v>
      </c>
      <c r="E72" s="20">
        <f>=COUNTIF(G72:P72, "x")</f>
      </c>
      <c r="F72" s="22">
        <f>=IF(E72&gt;0, D72/E72, 0)</f>
      </c>
      <c r="G72" s="23" t="s">
        <v>21</v>
      </c>
      <c r="H72" s="23" t="s">
        <v>21</v>
      </c>
      <c r="I72" s="23" t="s">
        <v>21</v>
      </c>
      <c r="J72" s="23" t="s">
        <v>21</v>
      </c>
      <c r="K72" s="23" t="s">
        <v>21</v>
      </c>
      <c r="L72" s="23" t="s">
        <v>21</v>
      </c>
      <c r="M72" s="23" t="s">
        <v>21</v>
      </c>
      <c r="N72" s="23" t="s">
        <v>21</v>
      </c>
      <c r="O72" s="23" t="s">
        <v>21</v>
      </c>
      <c r="P72" s="23" t="s">
        <v>21</v>
      </c>
      <c r="Q72" s="22">
        <f>=IF(G72="x", $F72, 0)</f>
      </c>
      <c r="R72" s="22">
        <f>=IF(H72="x", $F72, 0)</f>
      </c>
      <c r="S72" s="22">
        <f>=IF(I72="x", $F72, 0)</f>
      </c>
      <c r="T72" s="22">
        <f>=IF(J72="x", $F72, 0)</f>
      </c>
      <c r="U72" s="22">
        <f>=IF(K72="x", $F72, 0)</f>
      </c>
      <c r="V72" s="22">
        <f>=IF(L72="x", $F72, 0)</f>
      </c>
      <c r="W72" s="22">
        <f>=IF(M72="x", $F72, 0)</f>
      </c>
      <c r="X72" s="22">
        <f>=IF(N72="x", $F72, 0)</f>
      </c>
      <c r="Y72" s="22">
        <f>=IF(O72="x", $F72, 0)</f>
      </c>
      <c r="Z72" s="22">
        <f>=IF(P72="x", $F72, 0)</f>
      </c>
    </row>
    <row r="73" ht="20" customHeight="1" spans="1:26" x14ac:dyDescent="0.25">
      <c r="A73" s="24">
        <v>68</v>
      </c>
      <c r="B73" s="25" t="s">
        <v>21</v>
      </c>
      <c r="C73" s="25" t="s">
        <v>21</v>
      </c>
      <c r="D73" s="26" t="s">
        <v>21</v>
      </c>
      <c r="E73" s="24">
        <f>=COUNTIF(G73:P73, "x")</f>
      </c>
      <c r="F73" s="26">
        <f>=IF(E73&gt;0, D73/E73, 0)</f>
      </c>
      <c r="G73" s="27" t="s">
        <v>21</v>
      </c>
      <c r="H73" s="27" t="s">
        <v>21</v>
      </c>
      <c r="I73" s="27" t="s">
        <v>21</v>
      </c>
      <c r="J73" s="27" t="s">
        <v>21</v>
      </c>
      <c r="K73" s="27" t="s">
        <v>21</v>
      </c>
      <c r="L73" s="27" t="s">
        <v>21</v>
      </c>
      <c r="M73" s="27" t="s">
        <v>21</v>
      </c>
      <c r="N73" s="27" t="s">
        <v>21</v>
      </c>
      <c r="O73" s="27" t="s">
        <v>21</v>
      </c>
      <c r="P73" s="27" t="s">
        <v>21</v>
      </c>
      <c r="Q73" s="26">
        <f>=IF(G73="x", $F73, 0)</f>
      </c>
      <c r="R73" s="26">
        <f>=IF(H73="x", $F73, 0)</f>
      </c>
      <c r="S73" s="26">
        <f>=IF(I73="x", $F73, 0)</f>
      </c>
      <c r="T73" s="26">
        <f>=IF(J73="x", $F73, 0)</f>
      </c>
      <c r="U73" s="26">
        <f>=IF(K73="x", $F73, 0)</f>
      </c>
      <c r="V73" s="26">
        <f>=IF(L73="x", $F73, 0)</f>
      </c>
      <c r="W73" s="26">
        <f>=IF(M73="x", $F73, 0)</f>
      </c>
      <c r="X73" s="26">
        <f>=IF(N73="x", $F73, 0)</f>
      </c>
      <c r="Y73" s="26">
        <f>=IF(O73="x", $F73, 0)</f>
      </c>
      <c r="Z73" s="26">
        <f>=IF(P73="x", $F73, 0)</f>
      </c>
    </row>
    <row r="74" ht="20" customHeight="1" spans="1:26" x14ac:dyDescent="0.25">
      <c r="A74" s="20">
        <v>69</v>
      </c>
      <c r="B74" s="21" t="s">
        <v>21</v>
      </c>
      <c r="C74" s="21" t="s">
        <v>21</v>
      </c>
      <c r="D74" s="22" t="s">
        <v>21</v>
      </c>
      <c r="E74" s="20">
        <f>=COUNTIF(G74:P74, "x")</f>
      </c>
      <c r="F74" s="22">
        <f>=IF(E74&gt;0, D74/E74, 0)</f>
      </c>
      <c r="G74" s="23" t="s">
        <v>21</v>
      </c>
      <c r="H74" s="23" t="s">
        <v>21</v>
      </c>
      <c r="I74" s="23" t="s">
        <v>21</v>
      </c>
      <c r="J74" s="23" t="s">
        <v>21</v>
      </c>
      <c r="K74" s="23" t="s">
        <v>21</v>
      </c>
      <c r="L74" s="23" t="s">
        <v>21</v>
      </c>
      <c r="M74" s="23" t="s">
        <v>21</v>
      </c>
      <c r="N74" s="23" t="s">
        <v>21</v>
      </c>
      <c r="O74" s="23" t="s">
        <v>21</v>
      </c>
      <c r="P74" s="23" t="s">
        <v>21</v>
      </c>
      <c r="Q74" s="22">
        <f>=IF(G74="x", $F74, 0)</f>
      </c>
      <c r="R74" s="22">
        <f>=IF(H74="x", $F74, 0)</f>
      </c>
      <c r="S74" s="22">
        <f>=IF(I74="x", $F74, 0)</f>
      </c>
      <c r="T74" s="22">
        <f>=IF(J74="x", $F74, 0)</f>
      </c>
      <c r="U74" s="22">
        <f>=IF(K74="x", $F74, 0)</f>
      </c>
      <c r="V74" s="22">
        <f>=IF(L74="x", $F74, 0)</f>
      </c>
      <c r="W74" s="22">
        <f>=IF(M74="x", $F74, 0)</f>
      </c>
      <c r="X74" s="22">
        <f>=IF(N74="x", $F74, 0)</f>
      </c>
      <c r="Y74" s="22">
        <f>=IF(O74="x", $F74, 0)</f>
      </c>
      <c r="Z74" s="22">
        <f>=IF(P74="x", $F74, 0)</f>
      </c>
    </row>
    <row r="75" ht="20" customHeight="1" spans="1:26" x14ac:dyDescent="0.25">
      <c r="A75" s="24">
        <v>70</v>
      </c>
      <c r="B75" s="25" t="s">
        <v>21</v>
      </c>
      <c r="C75" s="25" t="s">
        <v>21</v>
      </c>
      <c r="D75" s="26" t="s">
        <v>21</v>
      </c>
      <c r="E75" s="24">
        <f>=COUNTIF(G75:P75, "x")</f>
      </c>
      <c r="F75" s="26">
        <f>=IF(E75&gt;0, D75/E75, 0)</f>
      </c>
      <c r="G75" s="27" t="s">
        <v>21</v>
      </c>
      <c r="H75" s="27" t="s">
        <v>21</v>
      </c>
      <c r="I75" s="27" t="s">
        <v>21</v>
      </c>
      <c r="J75" s="27" t="s">
        <v>21</v>
      </c>
      <c r="K75" s="27" t="s">
        <v>21</v>
      </c>
      <c r="L75" s="27" t="s">
        <v>21</v>
      </c>
      <c r="M75" s="27" t="s">
        <v>21</v>
      </c>
      <c r="N75" s="27" t="s">
        <v>21</v>
      </c>
      <c r="O75" s="27" t="s">
        <v>21</v>
      </c>
      <c r="P75" s="27" t="s">
        <v>21</v>
      </c>
      <c r="Q75" s="26">
        <f>=IF(G75="x", $F75, 0)</f>
      </c>
      <c r="R75" s="26">
        <f>=IF(H75="x", $F75, 0)</f>
      </c>
      <c r="S75" s="26">
        <f>=IF(I75="x", $F75, 0)</f>
      </c>
      <c r="T75" s="26">
        <f>=IF(J75="x", $F75, 0)</f>
      </c>
      <c r="U75" s="26">
        <f>=IF(K75="x", $F75, 0)</f>
      </c>
      <c r="V75" s="26">
        <f>=IF(L75="x", $F75, 0)</f>
      </c>
      <c r="W75" s="26">
        <f>=IF(M75="x", $F75, 0)</f>
      </c>
      <c r="X75" s="26">
        <f>=IF(N75="x", $F75, 0)</f>
      </c>
      <c r="Y75" s="26">
        <f>=IF(O75="x", $F75, 0)</f>
      </c>
      <c r="Z75" s="26">
        <f>=IF(P75="x", $F75, 0)</f>
      </c>
    </row>
    <row r="76" ht="20" customHeight="1" spans="1:26" x14ac:dyDescent="0.25">
      <c r="A76" s="20">
        <v>71</v>
      </c>
      <c r="B76" s="21" t="s">
        <v>21</v>
      </c>
      <c r="C76" s="21" t="s">
        <v>21</v>
      </c>
      <c r="D76" s="22" t="s">
        <v>21</v>
      </c>
      <c r="E76" s="20">
        <f>=COUNTIF(G76:P76, "x")</f>
      </c>
      <c r="F76" s="22">
        <f>=IF(E76&gt;0, D76/E76, 0)</f>
      </c>
      <c r="G76" s="23" t="s">
        <v>21</v>
      </c>
      <c r="H76" s="23" t="s">
        <v>21</v>
      </c>
      <c r="I76" s="23" t="s">
        <v>21</v>
      </c>
      <c r="J76" s="23" t="s">
        <v>21</v>
      </c>
      <c r="K76" s="23" t="s">
        <v>21</v>
      </c>
      <c r="L76" s="23" t="s">
        <v>21</v>
      </c>
      <c r="M76" s="23" t="s">
        <v>21</v>
      </c>
      <c r="N76" s="23" t="s">
        <v>21</v>
      </c>
      <c r="O76" s="23" t="s">
        <v>21</v>
      </c>
      <c r="P76" s="23" t="s">
        <v>21</v>
      </c>
      <c r="Q76" s="22">
        <f>=IF(G76="x", $F76, 0)</f>
      </c>
      <c r="R76" s="22">
        <f>=IF(H76="x", $F76, 0)</f>
      </c>
      <c r="S76" s="22">
        <f>=IF(I76="x", $F76, 0)</f>
      </c>
      <c r="T76" s="22">
        <f>=IF(J76="x", $F76, 0)</f>
      </c>
      <c r="U76" s="22">
        <f>=IF(K76="x", $F76, 0)</f>
      </c>
      <c r="V76" s="22">
        <f>=IF(L76="x", $F76, 0)</f>
      </c>
      <c r="W76" s="22">
        <f>=IF(M76="x", $F76, 0)</f>
      </c>
      <c r="X76" s="22">
        <f>=IF(N76="x", $F76, 0)</f>
      </c>
      <c r="Y76" s="22">
        <f>=IF(O76="x", $F76, 0)</f>
      </c>
      <c r="Z76" s="22">
        <f>=IF(P76="x", $F76, 0)</f>
      </c>
    </row>
    <row r="77" ht="20" customHeight="1" spans="1:26" x14ac:dyDescent="0.25">
      <c r="A77" s="24">
        <v>72</v>
      </c>
      <c r="B77" s="25" t="s">
        <v>21</v>
      </c>
      <c r="C77" s="25" t="s">
        <v>21</v>
      </c>
      <c r="D77" s="26" t="s">
        <v>21</v>
      </c>
      <c r="E77" s="24">
        <f>=COUNTIF(G77:P77, "x")</f>
      </c>
      <c r="F77" s="26">
        <f>=IF(E77&gt;0, D77/E77, 0)</f>
      </c>
      <c r="G77" s="27" t="s">
        <v>21</v>
      </c>
      <c r="H77" s="27" t="s">
        <v>21</v>
      </c>
      <c r="I77" s="27" t="s">
        <v>21</v>
      </c>
      <c r="J77" s="27" t="s">
        <v>21</v>
      </c>
      <c r="K77" s="27" t="s">
        <v>21</v>
      </c>
      <c r="L77" s="27" t="s">
        <v>21</v>
      </c>
      <c r="M77" s="27" t="s">
        <v>21</v>
      </c>
      <c r="N77" s="27" t="s">
        <v>21</v>
      </c>
      <c r="O77" s="27" t="s">
        <v>21</v>
      </c>
      <c r="P77" s="27" t="s">
        <v>21</v>
      </c>
      <c r="Q77" s="26">
        <f>=IF(G77="x", $F77, 0)</f>
      </c>
      <c r="R77" s="26">
        <f>=IF(H77="x", $F77, 0)</f>
      </c>
      <c r="S77" s="26">
        <f>=IF(I77="x", $F77, 0)</f>
      </c>
      <c r="T77" s="26">
        <f>=IF(J77="x", $F77, 0)</f>
      </c>
      <c r="U77" s="26">
        <f>=IF(K77="x", $F77, 0)</f>
      </c>
      <c r="V77" s="26">
        <f>=IF(L77="x", $F77, 0)</f>
      </c>
      <c r="W77" s="26">
        <f>=IF(M77="x", $F77, 0)</f>
      </c>
      <c r="X77" s="26">
        <f>=IF(N77="x", $F77, 0)</f>
      </c>
      <c r="Y77" s="26">
        <f>=IF(O77="x", $F77, 0)</f>
      </c>
      <c r="Z77" s="26">
        <f>=IF(P77="x", $F77, 0)</f>
      </c>
    </row>
    <row r="78" ht="20" customHeight="1" spans="1:26" x14ac:dyDescent="0.25">
      <c r="A78" s="20">
        <v>73</v>
      </c>
      <c r="B78" s="21" t="s">
        <v>21</v>
      </c>
      <c r="C78" s="21" t="s">
        <v>21</v>
      </c>
      <c r="D78" s="22" t="s">
        <v>21</v>
      </c>
      <c r="E78" s="20">
        <f>=COUNTIF(G78:P78, "x")</f>
      </c>
      <c r="F78" s="22">
        <f>=IF(E78&gt;0, D78/E78, 0)</f>
      </c>
      <c r="G78" s="23" t="s">
        <v>21</v>
      </c>
      <c r="H78" s="23" t="s">
        <v>21</v>
      </c>
      <c r="I78" s="23" t="s">
        <v>21</v>
      </c>
      <c r="J78" s="23" t="s">
        <v>21</v>
      </c>
      <c r="K78" s="23" t="s">
        <v>21</v>
      </c>
      <c r="L78" s="23" t="s">
        <v>21</v>
      </c>
      <c r="M78" s="23" t="s">
        <v>21</v>
      </c>
      <c r="N78" s="23" t="s">
        <v>21</v>
      </c>
      <c r="O78" s="23" t="s">
        <v>21</v>
      </c>
      <c r="P78" s="23" t="s">
        <v>21</v>
      </c>
      <c r="Q78" s="22">
        <f>=IF(G78="x", $F78, 0)</f>
      </c>
      <c r="R78" s="22">
        <f>=IF(H78="x", $F78, 0)</f>
      </c>
      <c r="S78" s="22">
        <f>=IF(I78="x", $F78, 0)</f>
      </c>
      <c r="T78" s="22">
        <f>=IF(J78="x", $F78, 0)</f>
      </c>
      <c r="U78" s="22">
        <f>=IF(K78="x", $F78, 0)</f>
      </c>
      <c r="V78" s="22">
        <f>=IF(L78="x", $F78, 0)</f>
      </c>
      <c r="W78" s="22">
        <f>=IF(M78="x", $F78, 0)</f>
      </c>
      <c r="X78" s="22">
        <f>=IF(N78="x", $F78, 0)</f>
      </c>
      <c r="Y78" s="22">
        <f>=IF(O78="x", $F78, 0)</f>
      </c>
      <c r="Z78" s="22">
        <f>=IF(P78="x", $F78, 0)</f>
      </c>
    </row>
    <row r="79" ht="20" customHeight="1" spans="1:26" x14ac:dyDescent="0.25">
      <c r="A79" s="24">
        <v>74</v>
      </c>
      <c r="B79" s="25" t="s">
        <v>21</v>
      </c>
      <c r="C79" s="25" t="s">
        <v>21</v>
      </c>
      <c r="D79" s="26" t="s">
        <v>21</v>
      </c>
      <c r="E79" s="24">
        <f>=COUNTIF(G79:P79, "x")</f>
      </c>
      <c r="F79" s="26">
        <f>=IF(E79&gt;0, D79/E79, 0)</f>
      </c>
      <c r="G79" s="27" t="s">
        <v>21</v>
      </c>
      <c r="H79" s="27" t="s">
        <v>21</v>
      </c>
      <c r="I79" s="27" t="s">
        <v>21</v>
      </c>
      <c r="J79" s="27" t="s">
        <v>21</v>
      </c>
      <c r="K79" s="27" t="s">
        <v>21</v>
      </c>
      <c r="L79" s="27" t="s">
        <v>21</v>
      </c>
      <c r="M79" s="27" t="s">
        <v>21</v>
      </c>
      <c r="N79" s="27" t="s">
        <v>21</v>
      </c>
      <c r="O79" s="27" t="s">
        <v>21</v>
      </c>
      <c r="P79" s="27" t="s">
        <v>21</v>
      </c>
      <c r="Q79" s="26">
        <f>=IF(G79="x", $F79, 0)</f>
      </c>
      <c r="R79" s="26">
        <f>=IF(H79="x", $F79, 0)</f>
      </c>
      <c r="S79" s="26">
        <f>=IF(I79="x", $F79, 0)</f>
      </c>
      <c r="T79" s="26">
        <f>=IF(J79="x", $F79, 0)</f>
      </c>
      <c r="U79" s="26">
        <f>=IF(K79="x", $F79, 0)</f>
      </c>
      <c r="V79" s="26">
        <f>=IF(L79="x", $F79, 0)</f>
      </c>
      <c r="W79" s="26">
        <f>=IF(M79="x", $F79, 0)</f>
      </c>
      <c r="X79" s="26">
        <f>=IF(N79="x", $F79, 0)</f>
      </c>
      <c r="Y79" s="26">
        <f>=IF(O79="x", $F79, 0)</f>
      </c>
      <c r="Z79" s="26">
        <f>=IF(P79="x", $F79, 0)</f>
      </c>
    </row>
    <row r="80" ht="20" customHeight="1" spans="1:26" x14ac:dyDescent="0.25">
      <c r="A80" s="20">
        <v>75</v>
      </c>
      <c r="B80" s="21" t="s">
        <v>21</v>
      </c>
      <c r="C80" s="21" t="s">
        <v>21</v>
      </c>
      <c r="D80" s="22" t="s">
        <v>21</v>
      </c>
      <c r="E80" s="20">
        <f>=COUNTIF(G80:P80, "x")</f>
      </c>
      <c r="F80" s="22">
        <f>=IF(E80&gt;0, D80/E80, 0)</f>
      </c>
      <c r="G80" s="23" t="s">
        <v>21</v>
      </c>
      <c r="H80" s="23" t="s">
        <v>21</v>
      </c>
      <c r="I80" s="23" t="s">
        <v>21</v>
      </c>
      <c r="J80" s="23" t="s">
        <v>21</v>
      </c>
      <c r="K80" s="23" t="s">
        <v>21</v>
      </c>
      <c r="L80" s="23" t="s">
        <v>21</v>
      </c>
      <c r="M80" s="23" t="s">
        <v>21</v>
      </c>
      <c r="N80" s="23" t="s">
        <v>21</v>
      </c>
      <c r="O80" s="23" t="s">
        <v>21</v>
      </c>
      <c r="P80" s="23" t="s">
        <v>21</v>
      </c>
      <c r="Q80" s="22">
        <f>=IF(G80="x", $F80, 0)</f>
      </c>
      <c r="R80" s="22">
        <f>=IF(H80="x", $F80, 0)</f>
      </c>
      <c r="S80" s="22">
        <f>=IF(I80="x", $F80, 0)</f>
      </c>
      <c r="T80" s="22">
        <f>=IF(J80="x", $F80, 0)</f>
      </c>
      <c r="U80" s="22">
        <f>=IF(K80="x", $F80, 0)</f>
      </c>
      <c r="V80" s="22">
        <f>=IF(L80="x", $F80, 0)</f>
      </c>
      <c r="W80" s="22">
        <f>=IF(M80="x", $F80, 0)</f>
      </c>
      <c r="X80" s="22">
        <f>=IF(N80="x", $F80, 0)</f>
      </c>
      <c r="Y80" s="22">
        <f>=IF(O80="x", $F80, 0)</f>
      </c>
      <c r="Z80" s="22">
        <f>=IF(P80="x", $F80, 0)</f>
      </c>
    </row>
    <row r="81" ht="20" customHeight="1" spans="1:26" x14ac:dyDescent="0.25">
      <c r="A81" s="24">
        <v>76</v>
      </c>
      <c r="B81" s="25" t="s">
        <v>21</v>
      </c>
      <c r="C81" s="25" t="s">
        <v>21</v>
      </c>
      <c r="D81" s="26" t="s">
        <v>21</v>
      </c>
      <c r="E81" s="24">
        <f>=COUNTIF(G81:P81, "x")</f>
      </c>
      <c r="F81" s="26">
        <f>=IF(E81&gt;0, D81/E81, 0)</f>
      </c>
      <c r="G81" s="27" t="s">
        <v>21</v>
      </c>
      <c r="H81" s="27" t="s">
        <v>21</v>
      </c>
      <c r="I81" s="27" t="s">
        <v>21</v>
      </c>
      <c r="J81" s="27" t="s">
        <v>21</v>
      </c>
      <c r="K81" s="27" t="s">
        <v>21</v>
      </c>
      <c r="L81" s="27" t="s">
        <v>21</v>
      </c>
      <c r="M81" s="27" t="s">
        <v>21</v>
      </c>
      <c r="N81" s="27" t="s">
        <v>21</v>
      </c>
      <c r="O81" s="27" t="s">
        <v>21</v>
      </c>
      <c r="P81" s="27" t="s">
        <v>21</v>
      </c>
      <c r="Q81" s="26">
        <f>=IF(G81="x", $F81, 0)</f>
      </c>
      <c r="R81" s="26">
        <f>=IF(H81="x", $F81, 0)</f>
      </c>
      <c r="S81" s="26">
        <f>=IF(I81="x", $F81, 0)</f>
      </c>
      <c r="T81" s="26">
        <f>=IF(J81="x", $F81, 0)</f>
      </c>
      <c r="U81" s="26">
        <f>=IF(K81="x", $F81, 0)</f>
      </c>
      <c r="V81" s="26">
        <f>=IF(L81="x", $F81, 0)</f>
      </c>
      <c r="W81" s="26">
        <f>=IF(M81="x", $F81, 0)</f>
      </c>
      <c r="X81" s="26">
        <f>=IF(N81="x", $F81, 0)</f>
      </c>
      <c r="Y81" s="26">
        <f>=IF(O81="x", $F81, 0)</f>
      </c>
      <c r="Z81" s="26">
        <f>=IF(P81="x", $F81, 0)</f>
      </c>
    </row>
    <row r="82" ht="20" customHeight="1" spans="1:26" x14ac:dyDescent="0.25">
      <c r="A82" s="20">
        <v>77</v>
      </c>
      <c r="B82" s="21" t="s">
        <v>21</v>
      </c>
      <c r="C82" s="21" t="s">
        <v>21</v>
      </c>
      <c r="D82" s="22" t="s">
        <v>21</v>
      </c>
      <c r="E82" s="20">
        <f>=COUNTIF(G82:P82, "x")</f>
      </c>
      <c r="F82" s="22">
        <f>=IF(E82&gt;0, D82/E82, 0)</f>
      </c>
      <c r="G82" s="23" t="s">
        <v>21</v>
      </c>
      <c r="H82" s="23" t="s">
        <v>21</v>
      </c>
      <c r="I82" s="23" t="s">
        <v>21</v>
      </c>
      <c r="J82" s="23" t="s">
        <v>21</v>
      </c>
      <c r="K82" s="23" t="s">
        <v>21</v>
      </c>
      <c r="L82" s="23" t="s">
        <v>21</v>
      </c>
      <c r="M82" s="23" t="s">
        <v>21</v>
      </c>
      <c r="N82" s="23" t="s">
        <v>21</v>
      </c>
      <c r="O82" s="23" t="s">
        <v>21</v>
      </c>
      <c r="P82" s="23" t="s">
        <v>21</v>
      </c>
      <c r="Q82" s="22">
        <f>=IF(G82="x", $F82, 0)</f>
      </c>
      <c r="R82" s="22">
        <f>=IF(H82="x", $F82, 0)</f>
      </c>
      <c r="S82" s="22">
        <f>=IF(I82="x", $F82, 0)</f>
      </c>
      <c r="T82" s="22">
        <f>=IF(J82="x", $F82, 0)</f>
      </c>
      <c r="U82" s="22">
        <f>=IF(K82="x", $F82, 0)</f>
      </c>
      <c r="V82" s="22">
        <f>=IF(L82="x", $F82, 0)</f>
      </c>
      <c r="W82" s="22">
        <f>=IF(M82="x", $F82, 0)</f>
      </c>
      <c r="X82" s="22">
        <f>=IF(N82="x", $F82, 0)</f>
      </c>
      <c r="Y82" s="22">
        <f>=IF(O82="x", $F82, 0)</f>
      </c>
      <c r="Z82" s="22">
        <f>=IF(P82="x", $F82, 0)</f>
      </c>
    </row>
    <row r="83" ht="20" customHeight="1" spans="1:26" x14ac:dyDescent="0.25">
      <c r="A83" s="24">
        <v>78</v>
      </c>
      <c r="B83" s="25" t="s">
        <v>21</v>
      </c>
      <c r="C83" s="25" t="s">
        <v>21</v>
      </c>
      <c r="D83" s="26" t="s">
        <v>21</v>
      </c>
      <c r="E83" s="24">
        <f>=COUNTIF(G83:P83, "x")</f>
      </c>
      <c r="F83" s="26">
        <f>=IF(E83&gt;0, D83/E83, 0)</f>
      </c>
      <c r="G83" s="27" t="s">
        <v>21</v>
      </c>
      <c r="H83" s="27" t="s">
        <v>21</v>
      </c>
      <c r="I83" s="27" t="s">
        <v>21</v>
      </c>
      <c r="J83" s="27" t="s">
        <v>21</v>
      </c>
      <c r="K83" s="27" t="s">
        <v>21</v>
      </c>
      <c r="L83" s="27" t="s">
        <v>21</v>
      </c>
      <c r="M83" s="27" t="s">
        <v>21</v>
      </c>
      <c r="N83" s="27" t="s">
        <v>21</v>
      </c>
      <c r="O83" s="27" t="s">
        <v>21</v>
      </c>
      <c r="P83" s="27" t="s">
        <v>21</v>
      </c>
      <c r="Q83" s="26">
        <f>=IF(G83="x", $F83, 0)</f>
      </c>
      <c r="R83" s="26">
        <f>=IF(H83="x", $F83, 0)</f>
      </c>
      <c r="S83" s="26">
        <f>=IF(I83="x", $F83, 0)</f>
      </c>
      <c r="T83" s="26">
        <f>=IF(J83="x", $F83, 0)</f>
      </c>
      <c r="U83" s="26">
        <f>=IF(K83="x", $F83, 0)</f>
      </c>
      <c r="V83" s="26">
        <f>=IF(L83="x", $F83, 0)</f>
      </c>
      <c r="W83" s="26">
        <f>=IF(M83="x", $F83, 0)</f>
      </c>
      <c r="X83" s="26">
        <f>=IF(N83="x", $F83, 0)</f>
      </c>
      <c r="Y83" s="26">
        <f>=IF(O83="x", $F83, 0)</f>
      </c>
      <c r="Z83" s="26">
        <f>=IF(P83="x", $F83, 0)</f>
      </c>
    </row>
    <row r="84" ht="20" customHeight="1" spans="1:26" x14ac:dyDescent="0.25">
      <c r="A84" s="20">
        <v>79</v>
      </c>
      <c r="B84" s="21" t="s">
        <v>21</v>
      </c>
      <c r="C84" s="21" t="s">
        <v>21</v>
      </c>
      <c r="D84" s="22" t="s">
        <v>21</v>
      </c>
      <c r="E84" s="20">
        <f>=COUNTIF(G84:P84, "x")</f>
      </c>
      <c r="F84" s="22">
        <f>=IF(E84&gt;0, D84/E84, 0)</f>
      </c>
      <c r="G84" s="23" t="s">
        <v>21</v>
      </c>
      <c r="H84" s="23" t="s">
        <v>21</v>
      </c>
      <c r="I84" s="23" t="s">
        <v>21</v>
      </c>
      <c r="J84" s="23" t="s">
        <v>21</v>
      </c>
      <c r="K84" s="23" t="s">
        <v>21</v>
      </c>
      <c r="L84" s="23" t="s">
        <v>21</v>
      </c>
      <c r="M84" s="23" t="s">
        <v>21</v>
      </c>
      <c r="N84" s="23" t="s">
        <v>21</v>
      </c>
      <c r="O84" s="23" t="s">
        <v>21</v>
      </c>
      <c r="P84" s="23" t="s">
        <v>21</v>
      </c>
      <c r="Q84" s="22">
        <f>=IF(G84="x", $F84, 0)</f>
      </c>
      <c r="R84" s="22">
        <f>=IF(H84="x", $F84, 0)</f>
      </c>
      <c r="S84" s="22">
        <f>=IF(I84="x", $F84, 0)</f>
      </c>
      <c r="T84" s="22">
        <f>=IF(J84="x", $F84, 0)</f>
      </c>
      <c r="U84" s="22">
        <f>=IF(K84="x", $F84, 0)</f>
      </c>
      <c r="V84" s="22">
        <f>=IF(L84="x", $F84, 0)</f>
      </c>
      <c r="W84" s="22">
        <f>=IF(M84="x", $F84, 0)</f>
      </c>
      <c r="X84" s="22">
        <f>=IF(N84="x", $F84, 0)</f>
      </c>
      <c r="Y84" s="22">
        <f>=IF(O84="x", $F84, 0)</f>
      </c>
      <c r="Z84" s="22">
        <f>=IF(P84="x", $F84, 0)</f>
      </c>
    </row>
    <row r="85" ht="20" customHeight="1" spans="1:26" x14ac:dyDescent="0.25">
      <c r="A85" s="24">
        <v>80</v>
      </c>
      <c r="B85" s="25" t="s">
        <v>21</v>
      </c>
      <c r="C85" s="25" t="s">
        <v>21</v>
      </c>
      <c r="D85" s="26" t="s">
        <v>21</v>
      </c>
      <c r="E85" s="24">
        <f>=COUNTIF(G85:P85, "x")</f>
      </c>
      <c r="F85" s="26">
        <f>=IF(E85&gt;0, D85/E85, 0)</f>
      </c>
      <c r="G85" s="27" t="s">
        <v>21</v>
      </c>
      <c r="H85" s="27" t="s">
        <v>21</v>
      </c>
      <c r="I85" s="27" t="s">
        <v>21</v>
      </c>
      <c r="J85" s="27" t="s">
        <v>21</v>
      </c>
      <c r="K85" s="27" t="s">
        <v>21</v>
      </c>
      <c r="L85" s="27" t="s">
        <v>21</v>
      </c>
      <c r="M85" s="27" t="s">
        <v>21</v>
      </c>
      <c r="N85" s="27" t="s">
        <v>21</v>
      </c>
      <c r="O85" s="27" t="s">
        <v>21</v>
      </c>
      <c r="P85" s="27" t="s">
        <v>21</v>
      </c>
      <c r="Q85" s="26">
        <f>=IF(G85="x", $F85, 0)</f>
      </c>
      <c r="R85" s="26">
        <f>=IF(H85="x", $F85, 0)</f>
      </c>
      <c r="S85" s="26">
        <f>=IF(I85="x", $F85, 0)</f>
      </c>
      <c r="T85" s="26">
        <f>=IF(J85="x", $F85, 0)</f>
      </c>
      <c r="U85" s="26">
        <f>=IF(K85="x", $F85, 0)</f>
      </c>
      <c r="V85" s="26">
        <f>=IF(L85="x", $F85, 0)</f>
      </c>
      <c r="W85" s="26">
        <f>=IF(M85="x", $F85, 0)</f>
      </c>
      <c r="X85" s="26">
        <f>=IF(N85="x", $F85, 0)</f>
      </c>
      <c r="Y85" s="26">
        <f>=IF(O85="x", $F85, 0)</f>
      </c>
      <c r="Z85" s="26">
        <f>=IF(P85="x", $F85, 0)</f>
      </c>
    </row>
    <row r="86" ht="20" customHeight="1" spans="1:26" x14ac:dyDescent="0.25">
      <c r="A86" s="20">
        <v>81</v>
      </c>
      <c r="B86" s="21" t="s">
        <v>21</v>
      </c>
      <c r="C86" s="21" t="s">
        <v>21</v>
      </c>
      <c r="D86" s="22" t="s">
        <v>21</v>
      </c>
      <c r="E86" s="20">
        <f>=COUNTIF(G86:P86, "x")</f>
      </c>
      <c r="F86" s="22">
        <f>=IF(E86&gt;0, D86/E86, 0)</f>
      </c>
      <c r="G86" s="23" t="s">
        <v>21</v>
      </c>
      <c r="H86" s="23" t="s">
        <v>21</v>
      </c>
      <c r="I86" s="23" t="s">
        <v>21</v>
      </c>
      <c r="J86" s="23" t="s">
        <v>21</v>
      </c>
      <c r="K86" s="23" t="s">
        <v>21</v>
      </c>
      <c r="L86" s="23" t="s">
        <v>21</v>
      </c>
      <c r="M86" s="23" t="s">
        <v>21</v>
      </c>
      <c r="N86" s="23" t="s">
        <v>21</v>
      </c>
      <c r="O86" s="23" t="s">
        <v>21</v>
      </c>
      <c r="P86" s="23" t="s">
        <v>21</v>
      </c>
      <c r="Q86" s="22">
        <f>=IF(G86="x", $F86, 0)</f>
      </c>
      <c r="R86" s="22">
        <f>=IF(H86="x", $F86, 0)</f>
      </c>
      <c r="S86" s="22">
        <f>=IF(I86="x", $F86, 0)</f>
      </c>
      <c r="T86" s="22">
        <f>=IF(J86="x", $F86, 0)</f>
      </c>
      <c r="U86" s="22">
        <f>=IF(K86="x", $F86, 0)</f>
      </c>
      <c r="V86" s="22">
        <f>=IF(L86="x", $F86, 0)</f>
      </c>
      <c r="W86" s="22">
        <f>=IF(M86="x", $F86, 0)</f>
      </c>
      <c r="X86" s="22">
        <f>=IF(N86="x", $F86, 0)</f>
      </c>
      <c r="Y86" s="22">
        <f>=IF(O86="x", $F86, 0)</f>
      </c>
      <c r="Z86" s="22">
        <f>=IF(P86="x", $F86, 0)</f>
      </c>
    </row>
    <row r="87" ht="20" customHeight="1" spans="1:26" x14ac:dyDescent="0.25">
      <c r="A87" s="24">
        <v>82</v>
      </c>
      <c r="B87" s="25" t="s">
        <v>21</v>
      </c>
      <c r="C87" s="25" t="s">
        <v>21</v>
      </c>
      <c r="D87" s="26" t="s">
        <v>21</v>
      </c>
      <c r="E87" s="24">
        <f>=COUNTIF(G87:P87, "x")</f>
      </c>
      <c r="F87" s="26">
        <f>=IF(E87&gt;0, D87/E87, 0)</f>
      </c>
      <c r="G87" s="27" t="s">
        <v>21</v>
      </c>
      <c r="H87" s="27" t="s">
        <v>21</v>
      </c>
      <c r="I87" s="27" t="s">
        <v>21</v>
      </c>
      <c r="J87" s="27" t="s">
        <v>21</v>
      </c>
      <c r="K87" s="27" t="s">
        <v>21</v>
      </c>
      <c r="L87" s="27" t="s">
        <v>21</v>
      </c>
      <c r="M87" s="27" t="s">
        <v>21</v>
      </c>
      <c r="N87" s="27" t="s">
        <v>21</v>
      </c>
      <c r="O87" s="27" t="s">
        <v>21</v>
      </c>
      <c r="P87" s="27" t="s">
        <v>21</v>
      </c>
      <c r="Q87" s="26">
        <f>=IF(G87="x", $F87, 0)</f>
      </c>
      <c r="R87" s="26">
        <f>=IF(H87="x", $F87, 0)</f>
      </c>
      <c r="S87" s="26">
        <f>=IF(I87="x", $F87, 0)</f>
      </c>
      <c r="T87" s="26">
        <f>=IF(J87="x", $F87, 0)</f>
      </c>
      <c r="U87" s="26">
        <f>=IF(K87="x", $F87, 0)</f>
      </c>
      <c r="V87" s="26">
        <f>=IF(L87="x", $F87, 0)</f>
      </c>
      <c r="W87" s="26">
        <f>=IF(M87="x", $F87, 0)</f>
      </c>
      <c r="X87" s="26">
        <f>=IF(N87="x", $F87, 0)</f>
      </c>
      <c r="Y87" s="26">
        <f>=IF(O87="x", $F87, 0)</f>
      </c>
      <c r="Z87" s="26">
        <f>=IF(P87="x", $F87, 0)</f>
      </c>
    </row>
    <row r="88" ht="20" customHeight="1" spans="1:26" x14ac:dyDescent="0.25">
      <c r="A88" s="20">
        <v>83</v>
      </c>
      <c r="B88" s="21" t="s">
        <v>21</v>
      </c>
      <c r="C88" s="21" t="s">
        <v>21</v>
      </c>
      <c r="D88" s="22" t="s">
        <v>21</v>
      </c>
      <c r="E88" s="20">
        <f>=COUNTIF(G88:P88, "x")</f>
      </c>
      <c r="F88" s="22">
        <f>=IF(E88&gt;0, D88/E88, 0)</f>
      </c>
      <c r="G88" s="23" t="s">
        <v>21</v>
      </c>
      <c r="H88" s="23" t="s">
        <v>21</v>
      </c>
      <c r="I88" s="23" t="s">
        <v>21</v>
      </c>
      <c r="J88" s="23" t="s">
        <v>21</v>
      </c>
      <c r="K88" s="23" t="s">
        <v>21</v>
      </c>
      <c r="L88" s="23" t="s">
        <v>21</v>
      </c>
      <c r="M88" s="23" t="s">
        <v>21</v>
      </c>
      <c r="N88" s="23" t="s">
        <v>21</v>
      </c>
      <c r="O88" s="23" t="s">
        <v>21</v>
      </c>
      <c r="P88" s="23" t="s">
        <v>21</v>
      </c>
      <c r="Q88" s="22">
        <f>=IF(G88="x", $F88, 0)</f>
      </c>
      <c r="R88" s="22">
        <f>=IF(H88="x", $F88, 0)</f>
      </c>
      <c r="S88" s="22">
        <f>=IF(I88="x", $F88, 0)</f>
      </c>
      <c r="T88" s="22">
        <f>=IF(J88="x", $F88, 0)</f>
      </c>
      <c r="U88" s="22">
        <f>=IF(K88="x", $F88, 0)</f>
      </c>
      <c r="V88" s="22">
        <f>=IF(L88="x", $F88, 0)</f>
      </c>
      <c r="W88" s="22">
        <f>=IF(M88="x", $F88, 0)</f>
      </c>
      <c r="X88" s="22">
        <f>=IF(N88="x", $F88, 0)</f>
      </c>
      <c r="Y88" s="22">
        <f>=IF(O88="x", $F88, 0)</f>
      </c>
      <c r="Z88" s="22">
        <f>=IF(P88="x", $F88, 0)</f>
      </c>
    </row>
    <row r="89" ht="20" customHeight="1" spans="1:26" x14ac:dyDescent="0.25">
      <c r="A89" s="24">
        <v>84</v>
      </c>
      <c r="B89" s="25" t="s">
        <v>21</v>
      </c>
      <c r="C89" s="25" t="s">
        <v>21</v>
      </c>
      <c r="D89" s="26" t="s">
        <v>21</v>
      </c>
      <c r="E89" s="24">
        <f>=COUNTIF(G89:P89, "x")</f>
      </c>
      <c r="F89" s="26">
        <f>=IF(E89&gt;0, D89/E89, 0)</f>
      </c>
      <c r="G89" s="27" t="s">
        <v>21</v>
      </c>
      <c r="H89" s="27" t="s">
        <v>21</v>
      </c>
      <c r="I89" s="27" t="s">
        <v>21</v>
      </c>
      <c r="J89" s="27" t="s">
        <v>21</v>
      </c>
      <c r="K89" s="27" t="s">
        <v>21</v>
      </c>
      <c r="L89" s="27" t="s">
        <v>21</v>
      </c>
      <c r="M89" s="27" t="s">
        <v>21</v>
      </c>
      <c r="N89" s="27" t="s">
        <v>21</v>
      </c>
      <c r="O89" s="27" t="s">
        <v>21</v>
      </c>
      <c r="P89" s="27" t="s">
        <v>21</v>
      </c>
      <c r="Q89" s="26">
        <f>=IF(G89="x", $F89, 0)</f>
      </c>
      <c r="R89" s="26">
        <f>=IF(H89="x", $F89, 0)</f>
      </c>
      <c r="S89" s="26">
        <f>=IF(I89="x", $F89, 0)</f>
      </c>
      <c r="T89" s="26">
        <f>=IF(J89="x", $F89, 0)</f>
      </c>
      <c r="U89" s="26">
        <f>=IF(K89="x", $F89, 0)</f>
      </c>
      <c r="V89" s="26">
        <f>=IF(L89="x", $F89, 0)</f>
      </c>
      <c r="W89" s="26">
        <f>=IF(M89="x", $F89, 0)</f>
      </c>
      <c r="X89" s="26">
        <f>=IF(N89="x", $F89, 0)</f>
      </c>
      <c r="Y89" s="26">
        <f>=IF(O89="x", $F89, 0)</f>
      </c>
      <c r="Z89" s="26">
        <f>=IF(P89="x", $F89, 0)</f>
      </c>
    </row>
    <row r="90" ht="20" customHeight="1" spans="1:26" x14ac:dyDescent="0.25">
      <c r="A90" s="20">
        <v>85</v>
      </c>
      <c r="B90" s="21" t="s">
        <v>21</v>
      </c>
      <c r="C90" s="21" t="s">
        <v>21</v>
      </c>
      <c r="D90" s="22" t="s">
        <v>21</v>
      </c>
      <c r="E90" s="20">
        <f>=COUNTIF(G90:P90, "x")</f>
      </c>
      <c r="F90" s="22">
        <f>=IF(E90&gt;0, D90/E90, 0)</f>
      </c>
      <c r="G90" s="23" t="s">
        <v>21</v>
      </c>
      <c r="H90" s="23" t="s">
        <v>21</v>
      </c>
      <c r="I90" s="23" t="s">
        <v>21</v>
      </c>
      <c r="J90" s="23" t="s">
        <v>21</v>
      </c>
      <c r="K90" s="23" t="s">
        <v>21</v>
      </c>
      <c r="L90" s="23" t="s">
        <v>21</v>
      </c>
      <c r="M90" s="23" t="s">
        <v>21</v>
      </c>
      <c r="N90" s="23" t="s">
        <v>21</v>
      </c>
      <c r="O90" s="23" t="s">
        <v>21</v>
      </c>
      <c r="P90" s="23" t="s">
        <v>21</v>
      </c>
      <c r="Q90" s="22">
        <f>=IF(G90="x", $F90, 0)</f>
      </c>
      <c r="R90" s="22">
        <f>=IF(H90="x", $F90, 0)</f>
      </c>
      <c r="S90" s="22">
        <f>=IF(I90="x", $F90, 0)</f>
      </c>
      <c r="T90" s="22">
        <f>=IF(J90="x", $F90, 0)</f>
      </c>
      <c r="U90" s="22">
        <f>=IF(K90="x", $F90, 0)</f>
      </c>
      <c r="V90" s="22">
        <f>=IF(L90="x", $F90, 0)</f>
      </c>
      <c r="W90" s="22">
        <f>=IF(M90="x", $F90, 0)</f>
      </c>
      <c r="X90" s="22">
        <f>=IF(N90="x", $F90, 0)</f>
      </c>
      <c r="Y90" s="22">
        <f>=IF(O90="x", $F90, 0)</f>
      </c>
      <c r="Z90" s="22">
        <f>=IF(P90="x", $F90, 0)</f>
      </c>
    </row>
    <row r="91" ht="20" customHeight="1" spans="1:26" x14ac:dyDescent="0.25">
      <c r="A91" s="24">
        <v>86</v>
      </c>
      <c r="B91" s="25" t="s">
        <v>21</v>
      </c>
      <c r="C91" s="25" t="s">
        <v>21</v>
      </c>
      <c r="D91" s="26" t="s">
        <v>21</v>
      </c>
      <c r="E91" s="24">
        <f>=COUNTIF(G91:P91, "x")</f>
      </c>
      <c r="F91" s="26">
        <f>=IF(E91&gt;0, D91/E91, 0)</f>
      </c>
      <c r="G91" s="27" t="s">
        <v>21</v>
      </c>
      <c r="H91" s="27" t="s">
        <v>21</v>
      </c>
      <c r="I91" s="27" t="s">
        <v>21</v>
      </c>
      <c r="J91" s="27" t="s">
        <v>21</v>
      </c>
      <c r="K91" s="27" t="s">
        <v>21</v>
      </c>
      <c r="L91" s="27" t="s">
        <v>21</v>
      </c>
      <c r="M91" s="27" t="s">
        <v>21</v>
      </c>
      <c r="N91" s="27" t="s">
        <v>21</v>
      </c>
      <c r="O91" s="27" t="s">
        <v>21</v>
      </c>
      <c r="P91" s="27" t="s">
        <v>21</v>
      </c>
      <c r="Q91" s="26">
        <f>=IF(G91="x", $F91, 0)</f>
      </c>
      <c r="R91" s="26">
        <f>=IF(H91="x", $F91, 0)</f>
      </c>
      <c r="S91" s="26">
        <f>=IF(I91="x", $F91, 0)</f>
      </c>
      <c r="T91" s="26">
        <f>=IF(J91="x", $F91, 0)</f>
      </c>
      <c r="U91" s="26">
        <f>=IF(K91="x", $F91, 0)</f>
      </c>
      <c r="V91" s="26">
        <f>=IF(L91="x", $F91, 0)</f>
      </c>
      <c r="W91" s="26">
        <f>=IF(M91="x", $F91, 0)</f>
      </c>
      <c r="X91" s="26">
        <f>=IF(N91="x", $F91, 0)</f>
      </c>
      <c r="Y91" s="26">
        <f>=IF(O91="x", $F91, 0)</f>
      </c>
      <c r="Z91" s="26">
        <f>=IF(P91="x", $F91, 0)</f>
      </c>
    </row>
    <row r="92" ht="20" customHeight="1" spans="1:26" x14ac:dyDescent="0.25">
      <c r="A92" s="20">
        <v>87</v>
      </c>
      <c r="B92" s="21" t="s">
        <v>21</v>
      </c>
      <c r="C92" s="21" t="s">
        <v>21</v>
      </c>
      <c r="D92" s="22" t="s">
        <v>21</v>
      </c>
      <c r="E92" s="20">
        <f>=COUNTIF(G92:P92, "x")</f>
      </c>
      <c r="F92" s="22">
        <f>=IF(E92&gt;0, D92/E92, 0)</f>
      </c>
      <c r="G92" s="23" t="s">
        <v>21</v>
      </c>
      <c r="H92" s="23" t="s">
        <v>21</v>
      </c>
      <c r="I92" s="23" t="s">
        <v>21</v>
      </c>
      <c r="J92" s="23" t="s">
        <v>21</v>
      </c>
      <c r="K92" s="23" t="s">
        <v>21</v>
      </c>
      <c r="L92" s="23" t="s">
        <v>21</v>
      </c>
      <c r="M92" s="23" t="s">
        <v>21</v>
      </c>
      <c r="N92" s="23" t="s">
        <v>21</v>
      </c>
      <c r="O92" s="23" t="s">
        <v>21</v>
      </c>
      <c r="P92" s="23" t="s">
        <v>21</v>
      </c>
      <c r="Q92" s="22">
        <f>=IF(G92="x", $F92, 0)</f>
      </c>
      <c r="R92" s="22">
        <f>=IF(H92="x", $F92, 0)</f>
      </c>
      <c r="S92" s="22">
        <f>=IF(I92="x", $F92, 0)</f>
      </c>
      <c r="T92" s="22">
        <f>=IF(J92="x", $F92, 0)</f>
      </c>
      <c r="U92" s="22">
        <f>=IF(K92="x", $F92, 0)</f>
      </c>
      <c r="V92" s="22">
        <f>=IF(L92="x", $F92, 0)</f>
      </c>
      <c r="W92" s="22">
        <f>=IF(M92="x", $F92, 0)</f>
      </c>
      <c r="X92" s="22">
        <f>=IF(N92="x", $F92, 0)</f>
      </c>
      <c r="Y92" s="22">
        <f>=IF(O92="x", $F92, 0)</f>
      </c>
      <c r="Z92" s="22">
        <f>=IF(P92="x", $F92, 0)</f>
      </c>
    </row>
    <row r="93" ht="20" customHeight="1" spans="1:26" x14ac:dyDescent="0.25">
      <c r="A93" s="24">
        <v>88</v>
      </c>
      <c r="B93" s="25" t="s">
        <v>21</v>
      </c>
      <c r="C93" s="25" t="s">
        <v>21</v>
      </c>
      <c r="D93" s="26" t="s">
        <v>21</v>
      </c>
      <c r="E93" s="24">
        <f>=COUNTIF(G93:P93, "x")</f>
      </c>
      <c r="F93" s="26">
        <f>=IF(E93&gt;0, D93/E93, 0)</f>
      </c>
      <c r="G93" s="27" t="s">
        <v>21</v>
      </c>
      <c r="H93" s="27" t="s">
        <v>21</v>
      </c>
      <c r="I93" s="27" t="s">
        <v>21</v>
      </c>
      <c r="J93" s="27" t="s">
        <v>21</v>
      </c>
      <c r="K93" s="27" t="s">
        <v>21</v>
      </c>
      <c r="L93" s="27" t="s">
        <v>21</v>
      </c>
      <c r="M93" s="27" t="s">
        <v>21</v>
      </c>
      <c r="N93" s="27" t="s">
        <v>21</v>
      </c>
      <c r="O93" s="27" t="s">
        <v>21</v>
      </c>
      <c r="P93" s="27" t="s">
        <v>21</v>
      </c>
      <c r="Q93" s="26">
        <f>=IF(G93="x", $F93, 0)</f>
      </c>
      <c r="R93" s="26">
        <f>=IF(H93="x", $F93, 0)</f>
      </c>
      <c r="S93" s="26">
        <f>=IF(I93="x", $F93, 0)</f>
      </c>
      <c r="T93" s="26">
        <f>=IF(J93="x", $F93, 0)</f>
      </c>
      <c r="U93" s="26">
        <f>=IF(K93="x", $F93, 0)</f>
      </c>
      <c r="V93" s="26">
        <f>=IF(L93="x", $F93, 0)</f>
      </c>
      <c r="W93" s="26">
        <f>=IF(M93="x", $F93, 0)</f>
      </c>
      <c r="X93" s="26">
        <f>=IF(N93="x", $F93, 0)</f>
      </c>
      <c r="Y93" s="26">
        <f>=IF(O93="x", $F93, 0)</f>
      </c>
      <c r="Z93" s="26">
        <f>=IF(P93="x", $F93, 0)</f>
      </c>
    </row>
    <row r="94" ht="20" customHeight="1" spans="1:26" x14ac:dyDescent="0.25">
      <c r="A94" s="20">
        <v>89</v>
      </c>
      <c r="B94" s="21" t="s">
        <v>21</v>
      </c>
      <c r="C94" s="21" t="s">
        <v>21</v>
      </c>
      <c r="D94" s="22" t="s">
        <v>21</v>
      </c>
      <c r="E94" s="20">
        <f>=COUNTIF(G94:P94, "x")</f>
      </c>
      <c r="F94" s="22">
        <f>=IF(E94&gt;0, D94/E94, 0)</f>
      </c>
      <c r="G94" s="23" t="s">
        <v>21</v>
      </c>
      <c r="H94" s="23" t="s">
        <v>21</v>
      </c>
      <c r="I94" s="23" t="s">
        <v>21</v>
      </c>
      <c r="J94" s="23" t="s">
        <v>21</v>
      </c>
      <c r="K94" s="23" t="s">
        <v>21</v>
      </c>
      <c r="L94" s="23" t="s">
        <v>21</v>
      </c>
      <c r="M94" s="23" t="s">
        <v>21</v>
      </c>
      <c r="N94" s="23" t="s">
        <v>21</v>
      </c>
      <c r="O94" s="23" t="s">
        <v>21</v>
      </c>
      <c r="P94" s="23" t="s">
        <v>21</v>
      </c>
      <c r="Q94" s="22">
        <f>=IF(G94="x", $F94, 0)</f>
      </c>
      <c r="R94" s="22">
        <f>=IF(H94="x", $F94, 0)</f>
      </c>
      <c r="S94" s="22">
        <f>=IF(I94="x", $F94, 0)</f>
      </c>
      <c r="T94" s="22">
        <f>=IF(J94="x", $F94, 0)</f>
      </c>
      <c r="U94" s="22">
        <f>=IF(K94="x", $F94, 0)</f>
      </c>
      <c r="V94" s="22">
        <f>=IF(L94="x", $F94, 0)</f>
      </c>
      <c r="W94" s="22">
        <f>=IF(M94="x", $F94, 0)</f>
      </c>
      <c r="X94" s="22">
        <f>=IF(N94="x", $F94, 0)</f>
      </c>
      <c r="Y94" s="22">
        <f>=IF(O94="x", $F94, 0)</f>
      </c>
      <c r="Z94" s="22">
        <f>=IF(P94="x", $F94, 0)</f>
      </c>
    </row>
    <row r="95" ht="20" customHeight="1" spans="1:26" x14ac:dyDescent="0.25">
      <c r="A95" s="24">
        <v>90</v>
      </c>
      <c r="B95" s="25" t="s">
        <v>21</v>
      </c>
      <c r="C95" s="25" t="s">
        <v>21</v>
      </c>
      <c r="D95" s="26" t="s">
        <v>21</v>
      </c>
      <c r="E95" s="24">
        <f>=COUNTIF(G95:P95, "x")</f>
      </c>
      <c r="F95" s="26">
        <f>=IF(E95&gt;0, D95/E95, 0)</f>
      </c>
      <c r="G95" s="27" t="s">
        <v>21</v>
      </c>
      <c r="H95" s="27" t="s">
        <v>21</v>
      </c>
      <c r="I95" s="27" t="s">
        <v>21</v>
      </c>
      <c r="J95" s="27" t="s">
        <v>21</v>
      </c>
      <c r="K95" s="27" t="s">
        <v>21</v>
      </c>
      <c r="L95" s="27" t="s">
        <v>21</v>
      </c>
      <c r="M95" s="27" t="s">
        <v>21</v>
      </c>
      <c r="N95" s="27" t="s">
        <v>21</v>
      </c>
      <c r="O95" s="27" t="s">
        <v>21</v>
      </c>
      <c r="P95" s="27" t="s">
        <v>21</v>
      </c>
      <c r="Q95" s="26">
        <f>=IF(G95="x", $F95, 0)</f>
      </c>
      <c r="R95" s="26">
        <f>=IF(H95="x", $F95, 0)</f>
      </c>
      <c r="S95" s="26">
        <f>=IF(I95="x", $F95, 0)</f>
      </c>
      <c r="T95" s="26">
        <f>=IF(J95="x", $F95, 0)</f>
      </c>
      <c r="U95" s="26">
        <f>=IF(K95="x", $F95, 0)</f>
      </c>
      <c r="V95" s="26">
        <f>=IF(L95="x", $F95, 0)</f>
      </c>
      <c r="W95" s="26">
        <f>=IF(M95="x", $F95, 0)</f>
      </c>
      <c r="X95" s="26">
        <f>=IF(N95="x", $F95, 0)</f>
      </c>
      <c r="Y95" s="26">
        <f>=IF(O95="x", $F95, 0)</f>
      </c>
      <c r="Z95" s="26">
        <f>=IF(P95="x", $F95, 0)</f>
      </c>
    </row>
    <row r="96" ht="20" customHeight="1" spans="1:26" x14ac:dyDescent="0.25">
      <c r="A96" s="20">
        <v>91</v>
      </c>
      <c r="B96" s="21" t="s">
        <v>21</v>
      </c>
      <c r="C96" s="21" t="s">
        <v>21</v>
      </c>
      <c r="D96" s="22" t="s">
        <v>21</v>
      </c>
      <c r="E96" s="20">
        <f>=COUNTIF(G96:P96, "x")</f>
      </c>
      <c r="F96" s="22">
        <f>=IF(E96&gt;0, D96/E96, 0)</f>
      </c>
      <c r="G96" s="23" t="s">
        <v>21</v>
      </c>
      <c r="H96" s="23" t="s">
        <v>21</v>
      </c>
      <c r="I96" s="23" t="s">
        <v>21</v>
      </c>
      <c r="J96" s="23" t="s">
        <v>21</v>
      </c>
      <c r="K96" s="23" t="s">
        <v>21</v>
      </c>
      <c r="L96" s="23" t="s">
        <v>21</v>
      </c>
      <c r="M96" s="23" t="s">
        <v>21</v>
      </c>
      <c r="N96" s="23" t="s">
        <v>21</v>
      </c>
      <c r="O96" s="23" t="s">
        <v>21</v>
      </c>
      <c r="P96" s="23" t="s">
        <v>21</v>
      </c>
      <c r="Q96" s="22">
        <f>=IF(G96="x", $F96, 0)</f>
      </c>
      <c r="R96" s="22">
        <f>=IF(H96="x", $F96, 0)</f>
      </c>
      <c r="S96" s="22">
        <f>=IF(I96="x", $F96, 0)</f>
      </c>
      <c r="T96" s="22">
        <f>=IF(J96="x", $F96, 0)</f>
      </c>
      <c r="U96" s="22">
        <f>=IF(K96="x", $F96, 0)</f>
      </c>
      <c r="V96" s="22">
        <f>=IF(L96="x", $F96, 0)</f>
      </c>
      <c r="W96" s="22">
        <f>=IF(M96="x", $F96, 0)</f>
      </c>
      <c r="X96" s="22">
        <f>=IF(N96="x", $F96, 0)</f>
      </c>
      <c r="Y96" s="22">
        <f>=IF(O96="x", $F96, 0)</f>
      </c>
      <c r="Z96" s="22">
        <f>=IF(P96="x", $F96, 0)</f>
      </c>
    </row>
    <row r="97" ht="20" customHeight="1" spans="1:26" x14ac:dyDescent="0.25">
      <c r="A97" s="24">
        <v>92</v>
      </c>
      <c r="B97" s="25" t="s">
        <v>21</v>
      </c>
      <c r="C97" s="25" t="s">
        <v>21</v>
      </c>
      <c r="D97" s="26" t="s">
        <v>21</v>
      </c>
      <c r="E97" s="24">
        <f>=COUNTIF(G97:P97, "x")</f>
      </c>
      <c r="F97" s="26">
        <f>=IF(E97&gt;0, D97/E97, 0)</f>
      </c>
      <c r="G97" s="27" t="s">
        <v>21</v>
      </c>
      <c r="H97" s="27" t="s">
        <v>21</v>
      </c>
      <c r="I97" s="27" t="s">
        <v>21</v>
      </c>
      <c r="J97" s="27" t="s">
        <v>21</v>
      </c>
      <c r="K97" s="27" t="s">
        <v>21</v>
      </c>
      <c r="L97" s="27" t="s">
        <v>21</v>
      </c>
      <c r="M97" s="27" t="s">
        <v>21</v>
      </c>
      <c r="N97" s="27" t="s">
        <v>21</v>
      </c>
      <c r="O97" s="27" t="s">
        <v>21</v>
      </c>
      <c r="P97" s="27" t="s">
        <v>21</v>
      </c>
      <c r="Q97" s="26">
        <f>=IF(G97="x", $F97, 0)</f>
      </c>
      <c r="R97" s="26">
        <f>=IF(H97="x", $F97, 0)</f>
      </c>
      <c r="S97" s="26">
        <f>=IF(I97="x", $F97, 0)</f>
      </c>
      <c r="T97" s="26">
        <f>=IF(J97="x", $F97, 0)</f>
      </c>
      <c r="U97" s="26">
        <f>=IF(K97="x", $F97, 0)</f>
      </c>
      <c r="V97" s="26">
        <f>=IF(L97="x", $F97, 0)</f>
      </c>
      <c r="W97" s="26">
        <f>=IF(M97="x", $F97, 0)</f>
      </c>
      <c r="X97" s="26">
        <f>=IF(N97="x", $F97, 0)</f>
      </c>
      <c r="Y97" s="26">
        <f>=IF(O97="x", $F97, 0)</f>
      </c>
      <c r="Z97" s="26">
        <f>=IF(P97="x", $F97, 0)</f>
      </c>
    </row>
    <row r="98" ht="20" customHeight="1" spans="1:26" x14ac:dyDescent="0.25">
      <c r="A98" s="20">
        <v>93</v>
      </c>
      <c r="B98" s="21" t="s">
        <v>21</v>
      </c>
      <c r="C98" s="21" t="s">
        <v>21</v>
      </c>
      <c r="D98" s="22" t="s">
        <v>21</v>
      </c>
      <c r="E98" s="20">
        <f>=COUNTIF(G98:P98, "x")</f>
      </c>
      <c r="F98" s="22">
        <f>=IF(E98&gt;0, D98/E98, 0)</f>
      </c>
      <c r="G98" s="23" t="s">
        <v>21</v>
      </c>
      <c r="H98" s="23" t="s">
        <v>21</v>
      </c>
      <c r="I98" s="23" t="s">
        <v>21</v>
      </c>
      <c r="J98" s="23" t="s">
        <v>21</v>
      </c>
      <c r="K98" s="23" t="s">
        <v>21</v>
      </c>
      <c r="L98" s="23" t="s">
        <v>21</v>
      </c>
      <c r="M98" s="23" t="s">
        <v>21</v>
      </c>
      <c r="N98" s="23" t="s">
        <v>21</v>
      </c>
      <c r="O98" s="23" t="s">
        <v>21</v>
      </c>
      <c r="P98" s="23" t="s">
        <v>21</v>
      </c>
      <c r="Q98" s="22">
        <f>=IF(G98="x", $F98, 0)</f>
      </c>
      <c r="R98" s="22">
        <f>=IF(H98="x", $F98, 0)</f>
      </c>
      <c r="S98" s="22">
        <f>=IF(I98="x", $F98, 0)</f>
      </c>
      <c r="T98" s="22">
        <f>=IF(J98="x", $F98, 0)</f>
      </c>
      <c r="U98" s="22">
        <f>=IF(K98="x", $F98, 0)</f>
      </c>
      <c r="V98" s="22">
        <f>=IF(L98="x", $F98, 0)</f>
      </c>
      <c r="W98" s="22">
        <f>=IF(M98="x", $F98, 0)</f>
      </c>
      <c r="X98" s="22">
        <f>=IF(N98="x", $F98, 0)</f>
      </c>
      <c r="Y98" s="22">
        <f>=IF(O98="x", $F98, 0)</f>
      </c>
      <c r="Z98" s="22">
        <f>=IF(P98="x", $F98, 0)</f>
      </c>
    </row>
    <row r="99" ht="20" customHeight="1" spans="1:26" x14ac:dyDescent="0.25">
      <c r="A99" s="24">
        <v>94</v>
      </c>
      <c r="B99" s="25" t="s">
        <v>21</v>
      </c>
      <c r="C99" s="25" t="s">
        <v>21</v>
      </c>
      <c r="D99" s="26" t="s">
        <v>21</v>
      </c>
      <c r="E99" s="24">
        <f>=COUNTIF(G99:P99, "x")</f>
      </c>
      <c r="F99" s="26">
        <f>=IF(E99&gt;0, D99/E99, 0)</f>
      </c>
      <c r="G99" s="27" t="s">
        <v>21</v>
      </c>
      <c r="H99" s="27" t="s">
        <v>21</v>
      </c>
      <c r="I99" s="27" t="s">
        <v>21</v>
      </c>
      <c r="J99" s="27" t="s">
        <v>21</v>
      </c>
      <c r="K99" s="27" t="s">
        <v>21</v>
      </c>
      <c r="L99" s="27" t="s">
        <v>21</v>
      </c>
      <c r="M99" s="27" t="s">
        <v>21</v>
      </c>
      <c r="N99" s="27" t="s">
        <v>21</v>
      </c>
      <c r="O99" s="27" t="s">
        <v>21</v>
      </c>
      <c r="P99" s="27" t="s">
        <v>21</v>
      </c>
      <c r="Q99" s="26">
        <f>=IF(G99="x", $F99, 0)</f>
      </c>
      <c r="R99" s="26">
        <f>=IF(H99="x", $F99, 0)</f>
      </c>
      <c r="S99" s="26">
        <f>=IF(I99="x", $F99, 0)</f>
      </c>
      <c r="T99" s="26">
        <f>=IF(J99="x", $F99, 0)</f>
      </c>
      <c r="U99" s="26">
        <f>=IF(K99="x", $F99, 0)</f>
      </c>
      <c r="V99" s="26">
        <f>=IF(L99="x", $F99, 0)</f>
      </c>
      <c r="W99" s="26">
        <f>=IF(M99="x", $F99, 0)</f>
      </c>
      <c r="X99" s="26">
        <f>=IF(N99="x", $F99, 0)</f>
      </c>
      <c r="Y99" s="26">
        <f>=IF(O99="x", $F99, 0)</f>
      </c>
      <c r="Z99" s="26">
        <f>=IF(P99="x", $F99, 0)</f>
      </c>
    </row>
    <row r="100" ht="20" customHeight="1" spans="1:26" x14ac:dyDescent="0.25">
      <c r="A100" s="20">
        <v>95</v>
      </c>
      <c r="B100" s="21" t="s">
        <v>21</v>
      </c>
      <c r="C100" s="21" t="s">
        <v>21</v>
      </c>
      <c r="D100" s="22" t="s">
        <v>21</v>
      </c>
      <c r="E100" s="20">
        <f>=COUNTIF(G100:P100, "x")</f>
      </c>
      <c r="F100" s="22">
        <f>=IF(E100&gt;0, D100/E100, 0)</f>
      </c>
      <c r="G100" s="23" t="s">
        <v>21</v>
      </c>
      <c r="H100" s="23" t="s">
        <v>21</v>
      </c>
      <c r="I100" s="23" t="s">
        <v>21</v>
      </c>
      <c r="J100" s="23" t="s">
        <v>21</v>
      </c>
      <c r="K100" s="23" t="s">
        <v>21</v>
      </c>
      <c r="L100" s="23" t="s">
        <v>21</v>
      </c>
      <c r="M100" s="23" t="s">
        <v>21</v>
      </c>
      <c r="N100" s="23" t="s">
        <v>21</v>
      </c>
      <c r="O100" s="23" t="s">
        <v>21</v>
      </c>
      <c r="P100" s="23" t="s">
        <v>21</v>
      </c>
      <c r="Q100" s="22">
        <f>=IF(G100="x", $F100, 0)</f>
      </c>
      <c r="R100" s="22">
        <f>=IF(H100="x", $F100, 0)</f>
      </c>
      <c r="S100" s="22">
        <f>=IF(I100="x", $F100, 0)</f>
      </c>
      <c r="T100" s="22">
        <f>=IF(J100="x", $F100, 0)</f>
      </c>
      <c r="U100" s="22">
        <f>=IF(K100="x", $F100, 0)</f>
      </c>
      <c r="V100" s="22">
        <f>=IF(L100="x", $F100, 0)</f>
      </c>
      <c r="W100" s="22">
        <f>=IF(M100="x", $F100, 0)</f>
      </c>
      <c r="X100" s="22">
        <f>=IF(N100="x", $F100, 0)</f>
      </c>
      <c r="Y100" s="22">
        <f>=IF(O100="x", $F100, 0)</f>
      </c>
      <c r="Z100" s="22">
        <f>=IF(P100="x", $F100, 0)</f>
      </c>
    </row>
    <row r="101" ht="24" customHeight="1" spans="1:26" x14ac:dyDescent="0.25">
      <c r="A101" s="14" t="s">
        <v>21</v>
      </c>
      <c r="B101" s="28" t="s">
        <v>22</v>
      </c>
      <c r="C101" s="14" t="s">
        <v>21</v>
      </c>
      <c r="D101" s="29">
        <f>=SUM(D6:D100)</f>
      </c>
      <c r="E101" s="14" t="s">
        <v>21</v>
      </c>
      <c r="F101" s="14" t="s">
        <v>21</v>
      </c>
      <c r="G101" s="14" t="s">
        <v>21</v>
      </c>
      <c r="H101" s="14" t="s">
        <v>21</v>
      </c>
      <c r="I101" s="14" t="s">
        <v>21</v>
      </c>
      <c r="J101" s="14" t="s">
        <v>21</v>
      </c>
      <c r="K101" s="14" t="s">
        <v>21</v>
      </c>
      <c r="L101" s="14" t="s">
        <v>21</v>
      </c>
      <c r="M101" s="14" t="s">
        <v>21</v>
      </c>
      <c r="N101" s="14" t="s">
        <v>21</v>
      </c>
      <c r="O101" s="14" t="s">
        <v>21</v>
      </c>
      <c r="P101" s="14" t="s">
        <v>21</v>
      </c>
      <c r="Q101" s="29">
        <f>=SUM(Q6:Q100)</f>
      </c>
      <c r="R101" s="29">
        <f>=SUM(R6:R100)</f>
      </c>
      <c r="S101" s="29">
        <f>=SUM(S6:S100)</f>
      </c>
      <c r="T101" s="29">
        <f>=SUM(T6:T100)</f>
      </c>
      <c r="U101" s="29">
        <f>=SUM(U6:U100)</f>
      </c>
      <c r="V101" s="29">
        <f>=SUM(V6:V100)</f>
      </c>
      <c r="W101" s="29">
        <f>=SUM(W6:W100)</f>
      </c>
      <c r="X101" s="29">
        <f>=SUM(X6:X100)</f>
      </c>
      <c r="Y101" s="29">
        <f>=SUM(Y6:Y100)</f>
      </c>
      <c r="Z101" s="29">
        <f>=SUM(Z6:Z100)</f>
      </c>
    </row>
  </sheetData>
  <mergeCells count="2">
    <mergeCell ref="A1:P2"/>
    <mergeCell ref="A4:P4"/>
  </mergeCells>
  <dataValidations count="2">
    <dataValidation type="list" allowBlank="1" sqref="C10:C100">
      <formula1>='1. Tổng Hợp'!$B$11:$B$20</formula1>
    </dataValidation>
    <dataValidation type="list" allowBlank="1" sqref="C6:C100">
      <formula1>='1. Tổng Hợp'!$B$11:$B$20</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 Tổng Hợp</vt:lpstr>
      <vt:lpstr>2. Chi Tiết Chi Tiêu</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dc:creator>
  <dc:title/>
  <dc:subject/>
  <dc:description/>
  <cp:keywords/>
  <cp:category/>
  <cp:lastModifiedBy>Antigravity</cp:lastModifiedBy>
  <dcterms:created xsi:type="dcterms:W3CDTF">2026-05-27T02:34:11Z</dcterms:created>
  <dcterms:modified xsi:type="dcterms:W3CDTF">2026-05-27T02:34:11Z</dcterms:modified>
</cp:coreProperties>
</file>